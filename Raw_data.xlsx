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4848761-0F11-45D3-B0E6-01B1755F885D}" xr6:coauthVersionLast="47" xr6:coauthVersionMax="47" xr10:uidLastSave="{00000000-0000-0000-0000-000000000000}"/>
  <bookViews>
    <workbookView xWindow="-120" yWindow="-120" windowWidth="20730" windowHeight="11160" xr2:uid="{24491836-3CED-4E63-90B6-C2CEA0EEEBF2}"/>
  </bookViews>
  <sheets>
    <sheet name="Raw_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1" l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<sst xmlns="http://schemas.openxmlformats.org/spreadsheetml/2006/main" count="1954" uniqueCount="64">
  <si>
    <t>Date</t>
  </si>
  <si>
    <t>Description</t>
  </si>
  <si>
    <t>Debit</t>
  </si>
  <si>
    <t>Credit</t>
  </si>
  <si>
    <t>Sub-category</t>
  </si>
  <si>
    <t>Category</t>
  </si>
  <si>
    <t>Category Type</t>
  </si>
  <si>
    <t>Month Number</t>
  </si>
  <si>
    <t>Weekday</t>
  </si>
  <si>
    <t>Amount</t>
  </si>
  <si>
    <t>Data With Decision</t>
  </si>
  <si>
    <t>Data with Decision</t>
  </si>
  <si>
    <t>Salary</t>
  </si>
  <si>
    <t>Income</t>
  </si>
  <si>
    <t>Drink</t>
  </si>
  <si>
    <t>Coffee</t>
  </si>
  <si>
    <t>Dining Out</t>
  </si>
  <si>
    <t>Expense</t>
  </si>
  <si>
    <t>Estate Mangement</t>
  </si>
  <si>
    <t>Rent</t>
  </si>
  <si>
    <t>Living Expenses</t>
  </si>
  <si>
    <t>Financail upgrade</t>
  </si>
  <si>
    <t>Cash loan</t>
  </si>
  <si>
    <t>Transport</t>
  </si>
  <si>
    <t>Green's</t>
  </si>
  <si>
    <t>Groceries</t>
  </si>
  <si>
    <t>Power source</t>
  </si>
  <si>
    <t>Gas/Electrics</t>
  </si>
  <si>
    <t>Fuel</t>
  </si>
  <si>
    <t>Cinemas</t>
  </si>
  <si>
    <t>Entertainment</t>
  </si>
  <si>
    <t>Discretionary</t>
  </si>
  <si>
    <t>Fashionistas</t>
  </si>
  <si>
    <t>Clothes</t>
  </si>
  <si>
    <t>Burger</t>
  </si>
  <si>
    <t>Restaurant</t>
  </si>
  <si>
    <t>Uba</t>
  </si>
  <si>
    <t>Taxi</t>
  </si>
  <si>
    <t>Onlne earning</t>
  </si>
  <si>
    <t>YouTube</t>
  </si>
  <si>
    <t>Passive</t>
  </si>
  <si>
    <t>Teachable</t>
  </si>
  <si>
    <t>Phone</t>
  </si>
  <si>
    <t>Sallah give away</t>
  </si>
  <si>
    <t>Gifts</t>
  </si>
  <si>
    <t>Online streaming</t>
  </si>
  <si>
    <t>Suya</t>
  </si>
  <si>
    <t>Oha soup/White soup</t>
  </si>
  <si>
    <t>Orphanage</t>
  </si>
  <si>
    <t>Donation</t>
  </si>
  <si>
    <t>Charity</t>
  </si>
  <si>
    <t>Fueling</t>
  </si>
  <si>
    <t>Trainers</t>
  </si>
  <si>
    <t>Hangingout/Ticket</t>
  </si>
  <si>
    <t>Global Fashion</t>
  </si>
  <si>
    <t>Taken medication</t>
  </si>
  <si>
    <t>Doctor</t>
  </si>
  <si>
    <t>Medical</t>
  </si>
  <si>
    <t>Sport ware</t>
  </si>
  <si>
    <t>Foodary</t>
  </si>
  <si>
    <t>Clubing</t>
  </si>
  <si>
    <t>Home décor</t>
  </si>
  <si>
    <t>Furnishings</t>
  </si>
  <si>
    <t>Feedings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</si>
</sst>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d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2" borderId="1" xfId="0" applyNumberFormat="1" applyFont="1" applyFill="1" applyBorder="1"/>
    <xf numFmtId="0" fontId="1" fillId="2" borderId="2" xfId="0" applyFont="1" applyFill="1" applyBorder="1"/>
    <xf numFmtId="165" fontId="1" fillId="2" borderId="2" xfId="0" applyNumberFormat="1" applyFont="1" applyFill="1" applyBorder="1"/>
    <xf numFmtId="0" fontId="1" fillId="2" borderId="3" xfId="0" applyFont="1" applyFill="1" applyBorder="1"/>
    <xf numFmtId="164" fontId="0" fillId="3" borderId="1" xfId="0" applyNumberFormat="1" applyFill="1" applyBorder="1"/>
    <xf numFmtId="0" fontId="0" fillId="3" borderId="2" xfId="0" applyFill="1" applyBorder="1"/>
    <xf numFmtId="165" fontId="0" fillId="3" borderId="2" xfId="0" applyNumberFormat="1" applyFill="1" applyBorder="1"/>
    <xf numFmtId="0" fontId="0" fillId="3" borderId="3" xfId="0" applyFill="1" applyBorder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165" fontId="0" fillId="0" borderId="5" xfId="0" applyNumberFormat="1" applyBorder="1"/>
    <xf numFmtId="0" fontId="0" fillId="0" borderId="6" xfId="0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Entri\PROJECT\Mini_Project(xl,bi)\Project-Expense\Expense_Tracker.xlsx" TargetMode="External"/><Relationship Id="rId1" Type="http://schemas.openxmlformats.org/officeDocument/2006/relationships/externalLinkPath" Target="Entri/PROJECT/Mini_Project(xl,bi)/Project-Expense/Expens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"/>
      <sheetName val="Clean data"/>
      <sheetName val="Dim_table"/>
      <sheetName val="Fact_table"/>
      <sheetName val="Pivot"/>
      <sheetName val="Dashboard"/>
    </sheetNames>
    <sheetDataSet>
      <sheetData sheetId="0">
        <row r="2">
          <cell r="A2">
            <v>44200</v>
          </cell>
          <cell r="D2">
            <v>5000</v>
          </cell>
        </row>
        <row r="3">
          <cell r="A3">
            <v>44200</v>
          </cell>
          <cell r="C3">
            <v>5</v>
          </cell>
        </row>
        <row r="4">
          <cell r="A4">
            <v>44201</v>
          </cell>
          <cell r="C4">
            <v>900</v>
          </cell>
        </row>
        <row r="5">
          <cell r="A5">
            <v>44201</v>
          </cell>
          <cell r="C5">
            <v>150</v>
          </cell>
        </row>
        <row r="6">
          <cell r="A6">
            <v>44201</v>
          </cell>
          <cell r="C6">
            <v>5</v>
          </cell>
        </row>
        <row r="7">
          <cell r="A7">
            <v>44202</v>
          </cell>
          <cell r="C7">
            <v>5</v>
          </cell>
        </row>
        <row r="8">
          <cell r="A8">
            <v>44203</v>
          </cell>
          <cell r="C8">
            <v>5</v>
          </cell>
        </row>
        <row r="9">
          <cell r="A9">
            <v>44204</v>
          </cell>
          <cell r="C9">
            <v>5</v>
          </cell>
        </row>
        <row r="10">
          <cell r="A10">
            <v>44204</v>
          </cell>
          <cell r="C10">
            <v>155</v>
          </cell>
        </row>
        <row r="11">
          <cell r="A11">
            <v>44207</v>
          </cell>
          <cell r="C11">
            <v>50</v>
          </cell>
        </row>
        <row r="12">
          <cell r="A12">
            <v>44207</v>
          </cell>
          <cell r="C12">
            <v>5</v>
          </cell>
        </row>
        <row r="13">
          <cell r="A13">
            <v>44208</v>
          </cell>
          <cell r="C13">
            <v>5</v>
          </cell>
        </row>
        <row r="14">
          <cell r="A14">
            <v>44209</v>
          </cell>
          <cell r="C14">
            <v>77</v>
          </cell>
        </row>
        <row r="15">
          <cell r="A15">
            <v>44209</v>
          </cell>
          <cell r="C15">
            <v>5</v>
          </cell>
        </row>
        <row r="16">
          <cell r="A16">
            <v>44210</v>
          </cell>
          <cell r="C16">
            <v>5</v>
          </cell>
        </row>
        <row r="17">
          <cell r="A17">
            <v>44211</v>
          </cell>
          <cell r="C17">
            <v>135</v>
          </cell>
        </row>
        <row r="18">
          <cell r="A18">
            <v>44211</v>
          </cell>
          <cell r="C18">
            <v>5</v>
          </cell>
        </row>
        <row r="19">
          <cell r="A19">
            <v>44212</v>
          </cell>
          <cell r="C19">
            <v>5</v>
          </cell>
        </row>
        <row r="20">
          <cell r="A20">
            <v>44212</v>
          </cell>
          <cell r="C20">
            <v>40</v>
          </cell>
        </row>
        <row r="21">
          <cell r="A21">
            <v>44212</v>
          </cell>
          <cell r="C21">
            <v>98</v>
          </cell>
        </row>
        <row r="22">
          <cell r="A22">
            <v>44212</v>
          </cell>
          <cell r="C22">
            <v>52</v>
          </cell>
        </row>
        <row r="23">
          <cell r="A23">
            <v>44213</v>
          </cell>
          <cell r="C23">
            <v>28</v>
          </cell>
        </row>
        <row r="24">
          <cell r="A24">
            <v>44214</v>
          </cell>
          <cell r="D24">
            <v>4500</v>
          </cell>
        </row>
        <row r="25">
          <cell r="A25">
            <v>44214</v>
          </cell>
          <cell r="C25">
            <v>5</v>
          </cell>
        </row>
        <row r="26">
          <cell r="A26">
            <v>44215</v>
          </cell>
          <cell r="C26">
            <v>5</v>
          </cell>
        </row>
        <row r="27">
          <cell r="A27">
            <v>44215</v>
          </cell>
          <cell r="D27">
            <v>4500</v>
          </cell>
        </row>
        <row r="28">
          <cell r="A28">
            <v>44215</v>
          </cell>
          <cell r="C28">
            <v>40</v>
          </cell>
        </row>
        <row r="29">
          <cell r="A29">
            <v>44216</v>
          </cell>
          <cell r="C29">
            <v>45</v>
          </cell>
        </row>
        <row r="30">
          <cell r="A30">
            <v>44216</v>
          </cell>
          <cell r="C30">
            <v>32</v>
          </cell>
        </row>
        <row r="31">
          <cell r="A31">
            <v>44216</v>
          </cell>
          <cell r="C31">
            <v>5</v>
          </cell>
        </row>
        <row r="32">
          <cell r="A32">
            <v>44217</v>
          </cell>
          <cell r="C32">
            <v>5</v>
          </cell>
        </row>
        <row r="33">
          <cell r="A33">
            <v>44218</v>
          </cell>
          <cell r="C33">
            <v>5</v>
          </cell>
        </row>
        <row r="34">
          <cell r="A34">
            <v>44218</v>
          </cell>
          <cell r="C34">
            <v>170</v>
          </cell>
        </row>
        <row r="35">
          <cell r="A35">
            <v>44219</v>
          </cell>
          <cell r="C35">
            <v>37</v>
          </cell>
        </row>
        <row r="36">
          <cell r="A36">
            <v>44220</v>
          </cell>
          <cell r="C36">
            <v>12</v>
          </cell>
        </row>
        <row r="37">
          <cell r="A37">
            <v>44221</v>
          </cell>
          <cell r="C37">
            <v>55</v>
          </cell>
        </row>
        <row r="38">
          <cell r="A38">
            <v>44221</v>
          </cell>
          <cell r="C38">
            <v>63</v>
          </cell>
        </row>
        <row r="39">
          <cell r="A39">
            <v>44221</v>
          </cell>
          <cell r="C39">
            <v>5</v>
          </cell>
        </row>
        <row r="40">
          <cell r="A40">
            <v>44222</v>
          </cell>
          <cell r="C40">
            <v>5</v>
          </cell>
        </row>
        <row r="41">
          <cell r="A41">
            <v>44223</v>
          </cell>
          <cell r="C41">
            <v>5</v>
          </cell>
        </row>
        <row r="42">
          <cell r="A42">
            <v>44224</v>
          </cell>
          <cell r="C42">
            <v>5</v>
          </cell>
        </row>
        <row r="43">
          <cell r="A43">
            <v>44225</v>
          </cell>
          <cell r="C43">
            <v>5</v>
          </cell>
        </row>
        <row r="44">
          <cell r="A44">
            <v>44225</v>
          </cell>
          <cell r="C44">
            <v>162</v>
          </cell>
        </row>
        <row r="45">
          <cell r="A45">
            <v>44226</v>
          </cell>
          <cell r="C45">
            <v>125</v>
          </cell>
        </row>
        <row r="46">
          <cell r="A46">
            <v>44226</v>
          </cell>
          <cell r="C46">
            <v>175</v>
          </cell>
        </row>
        <row r="47">
          <cell r="A47">
            <v>44227</v>
          </cell>
          <cell r="C47">
            <v>145</v>
          </cell>
        </row>
        <row r="48">
          <cell r="A48">
            <v>44227</v>
          </cell>
          <cell r="C48">
            <v>23</v>
          </cell>
        </row>
        <row r="49">
          <cell r="A49">
            <v>44228</v>
          </cell>
          <cell r="D49">
            <v>5000</v>
          </cell>
        </row>
        <row r="50">
          <cell r="A50">
            <v>44228</v>
          </cell>
          <cell r="C50">
            <v>5</v>
          </cell>
        </row>
        <row r="51">
          <cell r="A51">
            <v>44229</v>
          </cell>
          <cell r="C51">
            <v>900</v>
          </cell>
        </row>
        <row r="52">
          <cell r="A52">
            <v>44229</v>
          </cell>
          <cell r="C52">
            <v>150</v>
          </cell>
        </row>
        <row r="53">
          <cell r="A53">
            <v>44229</v>
          </cell>
          <cell r="C53">
            <v>5</v>
          </cell>
        </row>
        <row r="54">
          <cell r="A54">
            <v>44230</v>
          </cell>
          <cell r="C54">
            <v>5</v>
          </cell>
        </row>
        <row r="55">
          <cell r="A55">
            <v>44231</v>
          </cell>
          <cell r="C55">
            <v>5</v>
          </cell>
        </row>
        <row r="56">
          <cell r="A56">
            <v>44232</v>
          </cell>
          <cell r="C56">
            <v>5</v>
          </cell>
        </row>
        <row r="57">
          <cell r="A57">
            <v>44232</v>
          </cell>
          <cell r="C57">
            <v>205</v>
          </cell>
        </row>
        <row r="58">
          <cell r="A58">
            <v>44235</v>
          </cell>
          <cell r="C58">
            <v>51.1</v>
          </cell>
        </row>
        <row r="59">
          <cell r="A59">
            <v>44235</v>
          </cell>
          <cell r="C59">
            <v>5</v>
          </cell>
        </row>
        <row r="60">
          <cell r="A60">
            <v>44236</v>
          </cell>
          <cell r="C60">
            <v>5</v>
          </cell>
        </row>
        <row r="61">
          <cell r="A61">
            <v>44237</v>
          </cell>
          <cell r="C61">
            <v>78</v>
          </cell>
        </row>
        <row r="62">
          <cell r="A62">
            <v>44237</v>
          </cell>
          <cell r="C62">
            <v>5</v>
          </cell>
        </row>
        <row r="63">
          <cell r="A63">
            <v>44238</v>
          </cell>
          <cell r="C63">
            <v>5</v>
          </cell>
        </row>
        <row r="64">
          <cell r="A64">
            <v>44239</v>
          </cell>
          <cell r="C64">
            <v>135.9</v>
          </cell>
        </row>
        <row r="65">
          <cell r="A65">
            <v>44239</v>
          </cell>
          <cell r="C65">
            <v>5</v>
          </cell>
        </row>
        <row r="66">
          <cell r="A66">
            <v>44240</v>
          </cell>
          <cell r="C66">
            <v>5</v>
          </cell>
        </row>
        <row r="67">
          <cell r="A67">
            <v>44240</v>
          </cell>
          <cell r="C67">
            <v>40.9</v>
          </cell>
        </row>
        <row r="68">
          <cell r="A68">
            <v>44240</v>
          </cell>
          <cell r="C68">
            <v>99</v>
          </cell>
        </row>
        <row r="69">
          <cell r="A69">
            <v>44240</v>
          </cell>
          <cell r="C69">
            <v>53</v>
          </cell>
        </row>
        <row r="70">
          <cell r="A70">
            <v>44241</v>
          </cell>
          <cell r="C70">
            <v>28.9</v>
          </cell>
        </row>
        <row r="71">
          <cell r="A71">
            <v>44242</v>
          </cell>
          <cell r="D71">
            <v>800</v>
          </cell>
        </row>
        <row r="72">
          <cell r="A72">
            <v>44242</v>
          </cell>
          <cell r="C72">
            <v>5</v>
          </cell>
        </row>
        <row r="73">
          <cell r="A73">
            <v>44243</v>
          </cell>
          <cell r="C73">
            <v>5</v>
          </cell>
        </row>
        <row r="74">
          <cell r="A74">
            <v>44243</v>
          </cell>
          <cell r="C74">
            <v>40</v>
          </cell>
        </row>
        <row r="75">
          <cell r="A75">
            <v>44244</v>
          </cell>
          <cell r="C75">
            <v>45.9</v>
          </cell>
        </row>
        <row r="76">
          <cell r="A76">
            <v>44244</v>
          </cell>
          <cell r="C76">
            <v>35</v>
          </cell>
        </row>
        <row r="77">
          <cell r="A77">
            <v>44244</v>
          </cell>
          <cell r="C77">
            <v>5</v>
          </cell>
        </row>
        <row r="78">
          <cell r="A78">
            <v>44245</v>
          </cell>
          <cell r="C78">
            <v>5</v>
          </cell>
        </row>
        <row r="79">
          <cell r="A79">
            <v>44246</v>
          </cell>
          <cell r="C79">
            <v>5</v>
          </cell>
        </row>
        <row r="80">
          <cell r="A80">
            <v>44246</v>
          </cell>
          <cell r="C80">
            <v>171</v>
          </cell>
        </row>
        <row r="81">
          <cell r="A81">
            <v>44247</v>
          </cell>
          <cell r="C81">
            <v>37.9</v>
          </cell>
        </row>
        <row r="82">
          <cell r="A82">
            <v>44248</v>
          </cell>
          <cell r="C82">
            <v>12.9</v>
          </cell>
        </row>
        <row r="83">
          <cell r="A83">
            <v>44249</v>
          </cell>
          <cell r="C83">
            <v>55</v>
          </cell>
        </row>
        <row r="84">
          <cell r="A84">
            <v>44249</v>
          </cell>
          <cell r="C84">
            <v>64.099999999999994</v>
          </cell>
        </row>
        <row r="85">
          <cell r="A85">
            <v>44249</v>
          </cell>
          <cell r="C85">
            <v>5</v>
          </cell>
        </row>
        <row r="86">
          <cell r="A86">
            <v>44250</v>
          </cell>
          <cell r="C86">
            <v>5</v>
          </cell>
        </row>
        <row r="87">
          <cell r="A87">
            <v>44251</v>
          </cell>
          <cell r="C87">
            <v>5</v>
          </cell>
        </row>
        <row r="88">
          <cell r="A88">
            <v>44252</v>
          </cell>
          <cell r="C88">
            <v>5</v>
          </cell>
        </row>
        <row r="89">
          <cell r="A89">
            <v>44253</v>
          </cell>
          <cell r="C89">
            <v>5</v>
          </cell>
        </row>
        <row r="90">
          <cell r="A90">
            <v>44253</v>
          </cell>
          <cell r="C90">
            <v>162.9</v>
          </cell>
        </row>
        <row r="91">
          <cell r="A91">
            <v>44254</v>
          </cell>
          <cell r="C91">
            <v>125.9</v>
          </cell>
        </row>
        <row r="92">
          <cell r="A92">
            <v>44254</v>
          </cell>
          <cell r="C92">
            <v>137</v>
          </cell>
        </row>
        <row r="93">
          <cell r="A93">
            <v>44255</v>
          </cell>
          <cell r="C93">
            <v>146.1</v>
          </cell>
        </row>
        <row r="94">
          <cell r="A94">
            <v>44255</v>
          </cell>
          <cell r="C94">
            <v>24.1</v>
          </cell>
        </row>
        <row r="95">
          <cell r="A95">
            <v>44256</v>
          </cell>
          <cell r="D95">
            <v>5000</v>
          </cell>
        </row>
        <row r="96">
          <cell r="A96">
            <v>44256</v>
          </cell>
          <cell r="C96">
            <v>5</v>
          </cell>
        </row>
        <row r="97">
          <cell r="A97">
            <v>44257</v>
          </cell>
          <cell r="C97">
            <v>900</v>
          </cell>
        </row>
        <row r="98">
          <cell r="A98">
            <v>44257</v>
          </cell>
          <cell r="C98">
            <v>150</v>
          </cell>
        </row>
        <row r="99">
          <cell r="A99">
            <v>44257</v>
          </cell>
          <cell r="C99">
            <v>5</v>
          </cell>
        </row>
        <row r="100">
          <cell r="A100">
            <v>44258</v>
          </cell>
          <cell r="C100">
            <v>5</v>
          </cell>
        </row>
        <row r="101">
          <cell r="A101">
            <v>44259</v>
          </cell>
          <cell r="C101">
            <v>5</v>
          </cell>
        </row>
        <row r="102">
          <cell r="A102">
            <v>44260</v>
          </cell>
          <cell r="C102">
            <v>5</v>
          </cell>
        </row>
        <row r="103">
          <cell r="A103">
            <v>44260</v>
          </cell>
          <cell r="C103">
            <v>149</v>
          </cell>
        </row>
        <row r="104">
          <cell r="A104">
            <v>44263</v>
          </cell>
          <cell r="C104">
            <v>52.1</v>
          </cell>
        </row>
        <row r="105">
          <cell r="A105">
            <v>44263</v>
          </cell>
          <cell r="C105">
            <v>5</v>
          </cell>
        </row>
        <row r="106">
          <cell r="A106">
            <v>44264</v>
          </cell>
          <cell r="C106">
            <v>5</v>
          </cell>
        </row>
        <row r="107">
          <cell r="A107">
            <v>44265</v>
          </cell>
          <cell r="C107">
            <v>78.900000000000006</v>
          </cell>
        </row>
        <row r="108">
          <cell r="A108">
            <v>44265</v>
          </cell>
          <cell r="C108">
            <v>5</v>
          </cell>
        </row>
        <row r="109">
          <cell r="A109">
            <v>44266</v>
          </cell>
          <cell r="C109">
            <v>5</v>
          </cell>
        </row>
        <row r="110">
          <cell r="A110">
            <v>44267</v>
          </cell>
          <cell r="C110">
            <v>137</v>
          </cell>
        </row>
        <row r="111">
          <cell r="A111">
            <v>44267</v>
          </cell>
          <cell r="C111">
            <v>5</v>
          </cell>
        </row>
        <row r="112">
          <cell r="A112">
            <v>44268</v>
          </cell>
          <cell r="C112">
            <v>5</v>
          </cell>
        </row>
        <row r="113">
          <cell r="A113">
            <v>44268</v>
          </cell>
          <cell r="C113">
            <v>41.8</v>
          </cell>
        </row>
        <row r="114">
          <cell r="A114">
            <v>44268</v>
          </cell>
          <cell r="C114">
            <v>99.9</v>
          </cell>
        </row>
        <row r="115">
          <cell r="A115">
            <v>44268</v>
          </cell>
          <cell r="C115">
            <v>54</v>
          </cell>
        </row>
        <row r="116">
          <cell r="A116">
            <v>44269</v>
          </cell>
          <cell r="C116">
            <v>30</v>
          </cell>
        </row>
        <row r="117">
          <cell r="A117">
            <v>44270</v>
          </cell>
          <cell r="D117">
            <v>1000</v>
          </cell>
        </row>
        <row r="118">
          <cell r="A118">
            <v>44270</v>
          </cell>
          <cell r="C118">
            <v>5</v>
          </cell>
        </row>
        <row r="119">
          <cell r="A119">
            <v>44271</v>
          </cell>
          <cell r="C119">
            <v>5</v>
          </cell>
        </row>
        <row r="120">
          <cell r="A120">
            <v>44271</v>
          </cell>
          <cell r="C120">
            <v>75</v>
          </cell>
        </row>
        <row r="121">
          <cell r="A121">
            <v>44271</v>
          </cell>
          <cell r="C121">
            <v>40</v>
          </cell>
        </row>
        <row r="122">
          <cell r="A122">
            <v>44272</v>
          </cell>
          <cell r="C122">
            <v>46.8</v>
          </cell>
        </row>
        <row r="123">
          <cell r="A123">
            <v>44272</v>
          </cell>
          <cell r="C123">
            <v>35</v>
          </cell>
        </row>
        <row r="124">
          <cell r="A124">
            <v>44272</v>
          </cell>
          <cell r="C124">
            <v>5</v>
          </cell>
        </row>
        <row r="125">
          <cell r="A125">
            <v>44273</v>
          </cell>
          <cell r="C125">
            <v>5</v>
          </cell>
        </row>
        <row r="126">
          <cell r="A126">
            <v>44274</v>
          </cell>
          <cell r="C126">
            <v>5</v>
          </cell>
        </row>
        <row r="127">
          <cell r="A127">
            <v>44274</v>
          </cell>
          <cell r="C127">
            <v>171.9</v>
          </cell>
        </row>
        <row r="128">
          <cell r="A128">
            <v>44275</v>
          </cell>
          <cell r="C128">
            <v>39</v>
          </cell>
        </row>
        <row r="129">
          <cell r="A129">
            <v>44276</v>
          </cell>
          <cell r="C129">
            <v>14</v>
          </cell>
        </row>
        <row r="130">
          <cell r="A130">
            <v>44277</v>
          </cell>
          <cell r="C130">
            <v>55</v>
          </cell>
        </row>
        <row r="131">
          <cell r="A131">
            <v>44277</v>
          </cell>
          <cell r="C131">
            <v>65</v>
          </cell>
        </row>
        <row r="132">
          <cell r="A132">
            <v>44277</v>
          </cell>
          <cell r="C132">
            <v>5</v>
          </cell>
        </row>
        <row r="133">
          <cell r="A133">
            <v>44278</v>
          </cell>
          <cell r="C133">
            <v>5</v>
          </cell>
        </row>
        <row r="134">
          <cell r="A134">
            <v>44279</v>
          </cell>
          <cell r="C134">
            <v>5</v>
          </cell>
        </row>
        <row r="135">
          <cell r="A135">
            <v>44280</v>
          </cell>
          <cell r="C135">
            <v>5</v>
          </cell>
        </row>
        <row r="136">
          <cell r="A136">
            <v>44281</v>
          </cell>
          <cell r="C136">
            <v>5</v>
          </cell>
        </row>
        <row r="137">
          <cell r="A137">
            <v>44281</v>
          </cell>
          <cell r="C137">
            <v>209</v>
          </cell>
        </row>
        <row r="138">
          <cell r="A138">
            <v>44282</v>
          </cell>
          <cell r="C138">
            <v>127</v>
          </cell>
        </row>
        <row r="139">
          <cell r="A139">
            <v>44282</v>
          </cell>
          <cell r="C139">
            <v>177.2</v>
          </cell>
        </row>
        <row r="140">
          <cell r="A140">
            <v>44283</v>
          </cell>
          <cell r="C140">
            <v>147.1</v>
          </cell>
        </row>
        <row r="141">
          <cell r="A141">
            <v>44283</v>
          </cell>
          <cell r="C141">
            <v>25</v>
          </cell>
        </row>
        <row r="142">
          <cell r="A142">
            <v>44284</v>
          </cell>
          <cell r="C142">
            <v>15</v>
          </cell>
        </row>
        <row r="143">
          <cell r="A143">
            <v>44285</v>
          </cell>
          <cell r="C143">
            <v>5</v>
          </cell>
        </row>
        <row r="144">
          <cell r="A144">
            <v>44286</v>
          </cell>
          <cell r="C144">
            <v>5</v>
          </cell>
        </row>
        <row r="145">
          <cell r="A145">
            <v>44287</v>
          </cell>
          <cell r="D145">
            <v>5000</v>
          </cell>
        </row>
        <row r="146">
          <cell r="A146">
            <v>44287</v>
          </cell>
          <cell r="C146">
            <v>5</v>
          </cell>
        </row>
        <row r="147">
          <cell r="A147">
            <v>44288</v>
          </cell>
          <cell r="C147">
            <v>900</v>
          </cell>
        </row>
        <row r="148">
          <cell r="A148">
            <v>44288</v>
          </cell>
          <cell r="C148">
            <v>150</v>
          </cell>
        </row>
        <row r="149">
          <cell r="A149">
            <v>44288</v>
          </cell>
          <cell r="C149">
            <v>5</v>
          </cell>
        </row>
        <row r="150">
          <cell r="A150">
            <v>44289</v>
          </cell>
          <cell r="C150">
            <v>5</v>
          </cell>
        </row>
        <row r="151">
          <cell r="A151">
            <v>44290</v>
          </cell>
          <cell r="C151">
            <v>5</v>
          </cell>
        </row>
        <row r="152">
          <cell r="A152">
            <v>44291</v>
          </cell>
          <cell r="C152">
            <v>5</v>
          </cell>
        </row>
        <row r="153">
          <cell r="A153">
            <v>44291</v>
          </cell>
          <cell r="C153">
            <v>158.19999999999999</v>
          </cell>
        </row>
        <row r="154">
          <cell r="A154">
            <v>44294</v>
          </cell>
          <cell r="C154">
            <v>53.2</v>
          </cell>
        </row>
        <row r="155">
          <cell r="A155">
            <v>44294</v>
          </cell>
          <cell r="C155">
            <v>5</v>
          </cell>
        </row>
        <row r="156">
          <cell r="A156">
            <v>44295</v>
          </cell>
          <cell r="C156">
            <v>5</v>
          </cell>
        </row>
        <row r="157">
          <cell r="A157">
            <v>44296</v>
          </cell>
          <cell r="C157">
            <v>79.900000000000006</v>
          </cell>
        </row>
        <row r="158">
          <cell r="A158">
            <v>44296</v>
          </cell>
          <cell r="C158">
            <v>5</v>
          </cell>
        </row>
        <row r="159">
          <cell r="A159">
            <v>44297</v>
          </cell>
          <cell r="C159">
            <v>5</v>
          </cell>
        </row>
        <row r="160">
          <cell r="A160">
            <v>44298</v>
          </cell>
          <cell r="C160">
            <v>98</v>
          </cell>
        </row>
        <row r="161">
          <cell r="A161">
            <v>44298</v>
          </cell>
          <cell r="C161">
            <v>5</v>
          </cell>
        </row>
        <row r="162">
          <cell r="A162">
            <v>44299</v>
          </cell>
          <cell r="C162">
            <v>5</v>
          </cell>
        </row>
        <row r="163">
          <cell r="A163">
            <v>44299</v>
          </cell>
          <cell r="C163">
            <v>42.8</v>
          </cell>
        </row>
        <row r="164">
          <cell r="A164">
            <v>44299</v>
          </cell>
          <cell r="C164">
            <v>100.9</v>
          </cell>
        </row>
        <row r="165">
          <cell r="A165">
            <v>44299</v>
          </cell>
          <cell r="C165">
            <v>54.9</v>
          </cell>
        </row>
        <row r="166">
          <cell r="A166">
            <v>44300</v>
          </cell>
          <cell r="C166">
            <v>31</v>
          </cell>
        </row>
        <row r="167">
          <cell r="A167">
            <v>44301</v>
          </cell>
          <cell r="D167">
            <v>2340</v>
          </cell>
        </row>
        <row r="168">
          <cell r="A168">
            <v>44301</v>
          </cell>
          <cell r="C168">
            <v>5</v>
          </cell>
        </row>
        <row r="169">
          <cell r="A169">
            <v>44302</v>
          </cell>
          <cell r="C169">
            <v>5</v>
          </cell>
        </row>
        <row r="170">
          <cell r="A170">
            <v>44302</v>
          </cell>
          <cell r="C170">
            <v>40</v>
          </cell>
        </row>
        <row r="171">
          <cell r="A171">
            <v>44303</v>
          </cell>
          <cell r="C171">
            <v>47.9</v>
          </cell>
        </row>
        <row r="172">
          <cell r="A172">
            <v>44303</v>
          </cell>
          <cell r="C172">
            <v>35</v>
          </cell>
        </row>
        <row r="173">
          <cell r="A173">
            <v>44303</v>
          </cell>
          <cell r="C173">
            <v>5</v>
          </cell>
        </row>
        <row r="174">
          <cell r="A174">
            <v>44304</v>
          </cell>
          <cell r="C174">
            <v>5</v>
          </cell>
        </row>
        <row r="175">
          <cell r="A175">
            <v>44305</v>
          </cell>
          <cell r="C175">
            <v>5</v>
          </cell>
        </row>
        <row r="176">
          <cell r="A176">
            <v>44305</v>
          </cell>
          <cell r="C176">
            <v>173</v>
          </cell>
        </row>
        <row r="177">
          <cell r="A177">
            <v>44306</v>
          </cell>
          <cell r="C177">
            <v>40.1</v>
          </cell>
        </row>
        <row r="178">
          <cell r="A178">
            <v>44307</v>
          </cell>
          <cell r="C178">
            <v>15.1</v>
          </cell>
        </row>
        <row r="179">
          <cell r="A179">
            <v>44308</v>
          </cell>
          <cell r="C179">
            <v>55</v>
          </cell>
        </row>
        <row r="180">
          <cell r="A180">
            <v>44308</v>
          </cell>
          <cell r="C180">
            <v>66</v>
          </cell>
        </row>
        <row r="181">
          <cell r="A181">
            <v>44308</v>
          </cell>
          <cell r="C181">
            <v>5</v>
          </cell>
        </row>
        <row r="182">
          <cell r="A182">
            <v>44309</v>
          </cell>
          <cell r="C182">
            <v>5</v>
          </cell>
        </row>
        <row r="183">
          <cell r="A183">
            <v>44310</v>
          </cell>
          <cell r="C183">
            <v>5</v>
          </cell>
        </row>
        <row r="184">
          <cell r="A184">
            <v>44311</v>
          </cell>
          <cell r="C184">
            <v>5</v>
          </cell>
        </row>
        <row r="185">
          <cell r="A185">
            <v>44312</v>
          </cell>
          <cell r="C185">
            <v>5</v>
          </cell>
        </row>
        <row r="186">
          <cell r="A186">
            <v>44312</v>
          </cell>
          <cell r="C186">
            <v>164.9</v>
          </cell>
        </row>
        <row r="187">
          <cell r="A187">
            <v>44313</v>
          </cell>
          <cell r="C187">
            <v>127.9</v>
          </cell>
        </row>
        <row r="188">
          <cell r="A188">
            <v>44313</v>
          </cell>
          <cell r="C188">
            <v>300</v>
          </cell>
        </row>
        <row r="189">
          <cell r="A189">
            <v>44314</v>
          </cell>
          <cell r="C189">
            <v>148.1</v>
          </cell>
        </row>
        <row r="190">
          <cell r="A190">
            <v>44314</v>
          </cell>
          <cell r="C190">
            <v>26.1</v>
          </cell>
        </row>
        <row r="191">
          <cell r="A191">
            <v>44315</v>
          </cell>
          <cell r="C191">
            <v>15</v>
          </cell>
        </row>
        <row r="192">
          <cell r="A192">
            <v>44315</v>
          </cell>
          <cell r="C192">
            <v>5</v>
          </cell>
        </row>
        <row r="193">
          <cell r="A193">
            <v>44316</v>
          </cell>
          <cell r="C193">
            <v>5</v>
          </cell>
        </row>
        <row r="194">
          <cell r="A194">
            <v>44318</v>
          </cell>
          <cell r="C194">
            <v>5</v>
          </cell>
        </row>
        <row r="195">
          <cell r="A195">
            <v>44319</v>
          </cell>
          <cell r="D195">
            <v>5000</v>
          </cell>
        </row>
        <row r="196">
          <cell r="A196">
            <v>44319</v>
          </cell>
          <cell r="C196">
            <v>900</v>
          </cell>
        </row>
        <row r="197">
          <cell r="A197">
            <v>44319</v>
          </cell>
          <cell r="C197">
            <v>150</v>
          </cell>
        </row>
        <row r="198">
          <cell r="A198">
            <v>44319</v>
          </cell>
          <cell r="C198">
            <v>5</v>
          </cell>
        </row>
        <row r="199">
          <cell r="A199">
            <v>44320</v>
          </cell>
          <cell r="C199">
            <v>5</v>
          </cell>
        </row>
        <row r="200">
          <cell r="A200">
            <v>44321</v>
          </cell>
          <cell r="C200">
            <v>5</v>
          </cell>
        </row>
        <row r="201">
          <cell r="A201">
            <v>44322</v>
          </cell>
          <cell r="C201">
            <v>5</v>
          </cell>
        </row>
        <row r="202">
          <cell r="A202">
            <v>44322</v>
          </cell>
          <cell r="C202">
            <v>170</v>
          </cell>
        </row>
        <row r="203">
          <cell r="A203">
            <v>44325</v>
          </cell>
          <cell r="C203">
            <v>54.1</v>
          </cell>
        </row>
        <row r="204">
          <cell r="A204">
            <v>44325</v>
          </cell>
          <cell r="C204">
            <v>5</v>
          </cell>
        </row>
        <row r="205">
          <cell r="A205">
            <v>44326</v>
          </cell>
          <cell r="C205">
            <v>5</v>
          </cell>
        </row>
        <row r="206">
          <cell r="A206">
            <v>44327</v>
          </cell>
          <cell r="C206">
            <v>81</v>
          </cell>
        </row>
        <row r="207">
          <cell r="A207">
            <v>44327</v>
          </cell>
          <cell r="C207">
            <v>5</v>
          </cell>
        </row>
        <row r="208">
          <cell r="A208">
            <v>44328</v>
          </cell>
          <cell r="C208">
            <v>5</v>
          </cell>
        </row>
        <row r="209">
          <cell r="A209">
            <v>44329</v>
          </cell>
          <cell r="C209">
            <v>139.1</v>
          </cell>
        </row>
        <row r="210">
          <cell r="A210">
            <v>44329</v>
          </cell>
          <cell r="C210">
            <v>5</v>
          </cell>
        </row>
        <row r="211">
          <cell r="A211">
            <v>44330</v>
          </cell>
          <cell r="C211">
            <v>5</v>
          </cell>
        </row>
        <row r="212">
          <cell r="A212">
            <v>44330</v>
          </cell>
          <cell r="C212">
            <v>43.9</v>
          </cell>
        </row>
        <row r="213">
          <cell r="A213">
            <v>44330</v>
          </cell>
          <cell r="C213">
            <v>101.80000000000001</v>
          </cell>
        </row>
        <row r="214">
          <cell r="A214">
            <v>44330</v>
          </cell>
          <cell r="C214">
            <v>55.9</v>
          </cell>
        </row>
        <row r="215">
          <cell r="A215">
            <v>44331</v>
          </cell>
          <cell r="C215">
            <v>32</v>
          </cell>
        </row>
        <row r="216">
          <cell r="A216">
            <v>44332</v>
          </cell>
          <cell r="D216">
            <v>1000</v>
          </cell>
        </row>
        <row r="217">
          <cell r="A217">
            <v>44332</v>
          </cell>
          <cell r="C217">
            <v>5</v>
          </cell>
        </row>
        <row r="218">
          <cell r="A218">
            <v>44333</v>
          </cell>
          <cell r="C218">
            <v>5</v>
          </cell>
        </row>
        <row r="219">
          <cell r="A219">
            <v>44333</v>
          </cell>
          <cell r="C219">
            <v>75</v>
          </cell>
        </row>
        <row r="220">
          <cell r="A220">
            <v>44333</v>
          </cell>
          <cell r="C220">
            <v>40</v>
          </cell>
        </row>
        <row r="221">
          <cell r="A221">
            <v>44334</v>
          </cell>
          <cell r="C221">
            <v>49</v>
          </cell>
        </row>
        <row r="222">
          <cell r="A222">
            <v>44334</v>
          </cell>
          <cell r="C222">
            <v>35</v>
          </cell>
        </row>
        <row r="223">
          <cell r="A223">
            <v>44334</v>
          </cell>
          <cell r="C223">
            <v>5</v>
          </cell>
        </row>
        <row r="224">
          <cell r="A224">
            <v>44335</v>
          </cell>
          <cell r="C224">
            <v>5</v>
          </cell>
        </row>
        <row r="225">
          <cell r="A225">
            <v>44336</v>
          </cell>
          <cell r="C225">
            <v>5</v>
          </cell>
        </row>
        <row r="226">
          <cell r="A226">
            <v>44336</v>
          </cell>
          <cell r="C226">
            <v>174</v>
          </cell>
        </row>
        <row r="227">
          <cell r="A227">
            <v>44337</v>
          </cell>
          <cell r="C227">
            <v>41.1</v>
          </cell>
        </row>
        <row r="228">
          <cell r="A228">
            <v>44338</v>
          </cell>
          <cell r="C228">
            <v>16.2</v>
          </cell>
        </row>
        <row r="229">
          <cell r="A229">
            <v>44339</v>
          </cell>
          <cell r="C229">
            <v>55</v>
          </cell>
        </row>
        <row r="230">
          <cell r="A230">
            <v>44339</v>
          </cell>
          <cell r="C230">
            <v>67</v>
          </cell>
        </row>
        <row r="231">
          <cell r="A231">
            <v>44339</v>
          </cell>
          <cell r="C231">
            <v>5</v>
          </cell>
        </row>
        <row r="232">
          <cell r="A232">
            <v>44340</v>
          </cell>
          <cell r="C232">
            <v>5</v>
          </cell>
        </row>
        <row r="233">
          <cell r="A233">
            <v>44341</v>
          </cell>
          <cell r="C233">
            <v>5</v>
          </cell>
        </row>
        <row r="234">
          <cell r="A234">
            <v>44342</v>
          </cell>
          <cell r="C234">
            <v>5</v>
          </cell>
        </row>
        <row r="235">
          <cell r="A235">
            <v>44343</v>
          </cell>
          <cell r="C235">
            <v>5</v>
          </cell>
        </row>
        <row r="236">
          <cell r="A236">
            <v>44343</v>
          </cell>
          <cell r="C236">
            <v>165.8</v>
          </cell>
        </row>
        <row r="237">
          <cell r="A237">
            <v>44344</v>
          </cell>
          <cell r="C237">
            <v>128.80000000000001</v>
          </cell>
        </row>
        <row r="238">
          <cell r="A238">
            <v>44344</v>
          </cell>
          <cell r="C238">
            <v>235</v>
          </cell>
        </row>
        <row r="239">
          <cell r="A239">
            <v>44345</v>
          </cell>
          <cell r="C239">
            <v>149.19999999999999</v>
          </cell>
        </row>
        <row r="240">
          <cell r="A240">
            <v>44345</v>
          </cell>
          <cell r="C240">
            <v>27.200000000000003</v>
          </cell>
        </row>
        <row r="241">
          <cell r="A241">
            <v>44347</v>
          </cell>
          <cell r="C241">
            <v>15</v>
          </cell>
        </row>
        <row r="242">
          <cell r="A242">
            <v>44346</v>
          </cell>
          <cell r="C242">
            <v>5</v>
          </cell>
        </row>
        <row r="243">
          <cell r="A243">
            <v>44347</v>
          </cell>
          <cell r="C243">
            <v>5</v>
          </cell>
        </row>
        <row r="244">
          <cell r="A244">
            <v>44348</v>
          </cell>
          <cell r="D244">
            <v>5000</v>
          </cell>
        </row>
        <row r="245">
          <cell r="A245">
            <v>44350</v>
          </cell>
          <cell r="C245">
            <v>5</v>
          </cell>
        </row>
        <row r="246">
          <cell r="A246">
            <v>44350</v>
          </cell>
          <cell r="C246">
            <v>900</v>
          </cell>
        </row>
        <row r="247">
          <cell r="A247">
            <v>44350</v>
          </cell>
          <cell r="C247">
            <v>150</v>
          </cell>
        </row>
        <row r="248">
          <cell r="A248">
            <v>44350</v>
          </cell>
          <cell r="C248">
            <v>5</v>
          </cell>
        </row>
        <row r="249">
          <cell r="A249">
            <v>44351</v>
          </cell>
          <cell r="C249">
            <v>5</v>
          </cell>
        </row>
        <row r="250">
          <cell r="A250">
            <v>44352</v>
          </cell>
          <cell r="C250">
            <v>5</v>
          </cell>
        </row>
        <row r="251">
          <cell r="A251">
            <v>44353</v>
          </cell>
          <cell r="C251">
            <v>5</v>
          </cell>
        </row>
        <row r="252">
          <cell r="A252">
            <v>44353</v>
          </cell>
          <cell r="C252">
            <v>119</v>
          </cell>
        </row>
        <row r="253">
          <cell r="A253">
            <v>44356</v>
          </cell>
          <cell r="C253">
            <v>55</v>
          </cell>
        </row>
        <row r="254">
          <cell r="A254">
            <v>44356</v>
          </cell>
          <cell r="C254">
            <v>5</v>
          </cell>
        </row>
        <row r="255">
          <cell r="A255">
            <v>44357</v>
          </cell>
          <cell r="C255">
            <v>5</v>
          </cell>
        </row>
        <row r="256">
          <cell r="A256">
            <v>44358</v>
          </cell>
          <cell r="C256">
            <v>82.1</v>
          </cell>
        </row>
        <row r="257">
          <cell r="A257">
            <v>44358</v>
          </cell>
          <cell r="C257">
            <v>5</v>
          </cell>
        </row>
        <row r="258">
          <cell r="A258">
            <v>44359</v>
          </cell>
          <cell r="C258">
            <v>5</v>
          </cell>
        </row>
        <row r="259">
          <cell r="A259">
            <v>44360</v>
          </cell>
          <cell r="C259">
            <v>140.19999999999999</v>
          </cell>
        </row>
        <row r="260">
          <cell r="A260">
            <v>44360</v>
          </cell>
          <cell r="C260">
            <v>5</v>
          </cell>
        </row>
        <row r="261">
          <cell r="A261">
            <v>44361</v>
          </cell>
          <cell r="C261">
            <v>5</v>
          </cell>
        </row>
        <row r="262">
          <cell r="A262">
            <v>44361</v>
          </cell>
          <cell r="C262">
            <v>44.9</v>
          </cell>
        </row>
        <row r="263">
          <cell r="A263">
            <v>44361</v>
          </cell>
          <cell r="C263">
            <v>102.9</v>
          </cell>
        </row>
        <row r="264">
          <cell r="A264">
            <v>44361</v>
          </cell>
          <cell r="C264">
            <v>56.9</v>
          </cell>
        </row>
        <row r="265">
          <cell r="A265">
            <v>44362</v>
          </cell>
          <cell r="C265">
            <v>33.1</v>
          </cell>
        </row>
        <row r="266">
          <cell r="A266">
            <v>44363</v>
          </cell>
          <cell r="D266">
            <v>100</v>
          </cell>
        </row>
        <row r="267">
          <cell r="A267">
            <v>44363</v>
          </cell>
          <cell r="C267">
            <v>5</v>
          </cell>
        </row>
        <row r="268">
          <cell r="A268">
            <v>44364</v>
          </cell>
          <cell r="C268">
            <v>5</v>
          </cell>
        </row>
        <row r="269">
          <cell r="A269">
            <v>44364</v>
          </cell>
          <cell r="C269">
            <v>40</v>
          </cell>
        </row>
        <row r="270">
          <cell r="A270">
            <v>44365</v>
          </cell>
          <cell r="C270">
            <v>50.1</v>
          </cell>
        </row>
        <row r="271">
          <cell r="A271">
            <v>44365</v>
          </cell>
          <cell r="C271">
            <v>35</v>
          </cell>
        </row>
        <row r="272">
          <cell r="A272">
            <v>44365</v>
          </cell>
          <cell r="C272">
            <v>5</v>
          </cell>
        </row>
        <row r="273">
          <cell r="A273">
            <v>44366</v>
          </cell>
          <cell r="C273">
            <v>5</v>
          </cell>
        </row>
        <row r="274">
          <cell r="A274">
            <v>44367</v>
          </cell>
          <cell r="C274">
            <v>5</v>
          </cell>
        </row>
        <row r="275">
          <cell r="A275">
            <v>44367</v>
          </cell>
          <cell r="C275">
            <v>234</v>
          </cell>
        </row>
        <row r="276">
          <cell r="A276">
            <v>44368</v>
          </cell>
          <cell r="C276">
            <v>42.1</v>
          </cell>
        </row>
        <row r="277">
          <cell r="A277">
            <v>44369</v>
          </cell>
          <cell r="C277">
            <v>17.099999999999998</v>
          </cell>
        </row>
        <row r="278">
          <cell r="A278">
            <v>44370</v>
          </cell>
          <cell r="C278">
            <v>55</v>
          </cell>
        </row>
        <row r="279">
          <cell r="A279">
            <v>44370</v>
          </cell>
          <cell r="C279">
            <v>67.900000000000006</v>
          </cell>
        </row>
        <row r="280">
          <cell r="A280">
            <v>44370</v>
          </cell>
          <cell r="C280">
            <v>5</v>
          </cell>
        </row>
        <row r="281">
          <cell r="A281">
            <v>44371</v>
          </cell>
          <cell r="C281">
            <v>5</v>
          </cell>
        </row>
        <row r="282">
          <cell r="A282">
            <v>44372</v>
          </cell>
          <cell r="C282">
            <v>5</v>
          </cell>
        </row>
        <row r="283">
          <cell r="A283">
            <v>44373</v>
          </cell>
          <cell r="C283">
            <v>5</v>
          </cell>
        </row>
        <row r="284">
          <cell r="A284">
            <v>44374</v>
          </cell>
          <cell r="C284">
            <v>5</v>
          </cell>
        </row>
        <row r="285">
          <cell r="A285">
            <v>44374</v>
          </cell>
          <cell r="C285">
            <v>166.9</v>
          </cell>
        </row>
        <row r="286">
          <cell r="A286">
            <v>44375</v>
          </cell>
          <cell r="C286">
            <v>129.9</v>
          </cell>
        </row>
        <row r="287">
          <cell r="A287">
            <v>44375</v>
          </cell>
          <cell r="C287">
            <v>180.29999999999998</v>
          </cell>
        </row>
        <row r="288">
          <cell r="A288">
            <v>44376</v>
          </cell>
          <cell r="C288">
            <v>150.1</v>
          </cell>
        </row>
        <row r="289">
          <cell r="A289">
            <v>44376</v>
          </cell>
          <cell r="C289">
            <v>28.200000000000003</v>
          </cell>
        </row>
        <row r="290">
          <cell r="A290">
            <v>44376</v>
          </cell>
          <cell r="C290">
            <v>15</v>
          </cell>
        </row>
        <row r="291">
          <cell r="A291">
            <v>44377</v>
          </cell>
          <cell r="C291">
            <v>5</v>
          </cell>
        </row>
        <row r="292">
          <cell r="A292">
            <v>44378</v>
          </cell>
          <cell r="C292">
            <v>5</v>
          </cell>
        </row>
        <row r="293">
          <cell r="A293">
            <v>44379</v>
          </cell>
          <cell r="D293">
            <v>5000</v>
          </cell>
        </row>
        <row r="294">
          <cell r="A294">
            <v>44380</v>
          </cell>
          <cell r="C294">
            <v>5</v>
          </cell>
        </row>
        <row r="295">
          <cell r="A295">
            <v>44382</v>
          </cell>
          <cell r="C295">
            <v>900</v>
          </cell>
        </row>
        <row r="296">
          <cell r="A296">
            <v>44382</v>
          </cell>
          <cell r="C296">
            <v>150</v>
          </cell>
        </row>
        <row r="297">
          <cell r="A297">
            <v>44382</v>
          </cell>
          <cell r="C297">
            <v>15</v>
          </cell>
        </row>
        <row r="298">
          <cell r="A298">
            <v>44382</v>
          </cell>
          <cell r="C298">
            <v>5</v>
          </cell>
        </row>
        <row r="299">
          <cell r="A299">
            <v>44383</v>
          </cell>
          <cell r="C299">
            <v>5</v>
          </cell>
        </row>
        <row r="300">
          <cell r="A300">
            <v>44384</v>
          </cell>
          <cell r="C300">
            <v>5</v>
          </cell>
        </row>
        <row r="301">
          <cell r="A301">
            <v>44384</v>
          </cell>
          <cell r="C301">
            <v>180</v>
          </cell>
        </row>
        <row r="302">
          <cell r="A302">
            <v>44387</v>
          </cell>
          <cell r="C302">
            <v>56.1</v>
          </cell>
        </row>
        <row r="303">
          <cell r="A303">
            <v>44387</v>
          </cell>
          <cell r="C303">
            <v>5</v>
          </cell>
        </row>
        <row r="304">
          <cell r="A304">
            <v>44388</v>
          </cell>
          <cell r="C304">
            <v>5</v>
          </cell>
        </row>
        <row r="305">
          <cell r="A305">
            <v>44389</v>
          </cell>
          <cell r="C305">
            <v>83.1</v>
          </cell>
        </row>
        <row r="306">
          <cell r="A306">
            <v>44389</v>
          </cell>
          <cell r="C306">
            <v>5</v>
          </cell>
        </row>
        <row r="307">
          <cell r="A307">
            <v>44390</v>
          </cell>
          <cell r="C307">
            <v>5</v>
          </cell>
        </row>
        <row r="308">
          <cell r="A308">
            <v>44391</v>
          </cell>
          <cell r="C308">
            <v>141.1</v>
          </cell>
        </row>
        <row r="309">
          <cell r="A309">
            <v>44391</v>
          </cell>
          <cell r="C309">
            <v>5</v>
          </cell>
        </row>
        <row r="310">
          <cell r="A310">
            <v>44392</v>
          </cell>
          <cell r="C310">
            <v>5</v>
          </cell>
        </row>
        <row r="311">
          <cell r="A311">
            <v>44392</v>
          </cell>
          <cell r="C311">
            <v>45.8</v>
          </cell>
        </row>
        <row r="312">
          <cell r="A312">
            <v>44392</v>
          </cell>
          <cell r="C312">
            <v>103.80000000000001</v>
          </cell>
        </row>
        <row r="313">
          <cell r="A313">
            <v>44392</v>
          </cell>
          <cell r="C313">
            <v>58</v>
          </cell>
        </row>
        <row r="314">
          <cell r="A314">
            <v>44393</v>
          </cell>
          <cell r="C314">
            <v>34.200000000000003</v>
          </cell>
        </row>
        <row r="315">
          <cell r="A315">
            <v>44394</v>
          </cell>
          <cell r="D315">
            <v>200</v>
          </cell>
        </row>
        <row r="316">
          <cell r="A316">
            <v>44394</v>
          </cell>
          <cell r="C316">
            <v>5</v>
          </cell>
        </row>
        <row r="317">
          <cell r="A317">
            <v>44395</v>
          </cell>
          <cell r="C317">
            <v>5</v>
          </cell>
        </row>
        <row r="318">
          <cell r="A318">
            <v>44395</v>
          </cell>
          <cell r="C318">
            <v>40</v>
          </cell>
        </row>
        <row r="319">
          <cell r="A319">
            <v>44396</v>
          </cell>
          <cell r="C319">
            <v>51.1</v>
          </cell>
        </row>
        <row r="320">
          <cell r="A320">
            <v>44396</v>
          </cell>
          <cell r="C320">
            <v>35</v>
          </cell>
        </row>
        <row r="321">
          <cell r="A321">
            <v>44396</v>
          </cell>
          <cell r="C321">
            <v>5</v>
          </cell>
        </row>
        <row r="322">
          <cell r="A322">
            <v>44397</v>
          </cell>
          <cell r="C322">
            <v>5</v>
          </cell>
        </row>
        <row r="323">
          <cell r="A323">
            <v>44398</v>
          </cell>
          <cell r="C323">
            <v>5</v>
          </cell>
        </row>
        <row r="324">
          <cell r="A324">
            <v>44398</v>
          </cell>
          <cell r="C324">
            <v>176</v>
          </cell>
        </row>
        <row r="325">
          <cell r="A325">
            <v>44399</v>
          </cell>
          <cell r="C325">
            <v>43.1</v>
          </cell>
        </row>
        <row r="326">
          <cell r="A326">
            <v>44400</v>
          </cell>
          <cell r="C326">
            <v>18.2</v>
          </cell>
        </row>
        <row r="327">
          <cell r="A327">
            <v>44401</v>
          </cell>
          <cell r="C327">
            <v>55</v>
          </cell>
        </row>
        <row r="328">
          <cell r="A328">
            <v>44401</v>
          </cell>
          <cell r="C328">
            <v>68.800000000000011</v>
          </cell>
        </row>
        <row r="329">
          <cell r="A329">
            <v>44401</v>
          </cell>
          <cell r="C329">
            <v>5</v>
          </cell>
        </row>
        <row r="330">
          <cell r="A330">
            <v>44402</v>
          </cell>
          <cell r="C330">
            <v>5</v>
          </cell>
        </row>
        <row r="331">
          <cell r="A331">
            <v>44403</v>
          </cell>
          <cell r="C331">
            <v>5</v>
          </cell>
        </row>
        <row r="332">
          <cell r="A332">
            <v>44404</v>
          </cell>
          <cell r="C332">
            <v>5</v>
          </cell>
        </row>
        <row r="333">
          <cell r="A333">
            <v>44405</v>
          </cell>
          <cell r="C333">
            <v>5</v>
          </cell>
        </row>
        <row r="334">
          <cell r="A334">
            <v>44405</v>
          </cell>
          <cell r="C334">
            <v>193</v>
          </cell>
        </row>
        <row r="335">
          <cell r="A335">
            <v>44406</v>
          </cell>
          <cell r="C335">
            <v>130.80000000000001</v>
          </cell>
        </row>
        <row r="336">
          <cell r="A336">
            <v>44406</v>
          </cell>
          <cell r="C336">
            <v>181.39999999999998</v>
          </cell>
        </row>
        <row r="337">
          <cell r="A337">
            <v>44407</v>
          </cell>
          <cell r="C337">
            <v>151.19999999999999</v>
          </cell>
        </row>
        <row r="338">
          <cell r="A338">
            <v>44407</v>
          </cell>
          <cell r="C338">
            <v>29.300000000000004</v>
          </cell>
        </row>
        <row r="339">
          <cell r="A339">
            <v>44407</v>
          </cell>
          <cell r="C339">
            <v>15</v>
          </cell>
        </row>
        <row r="340">
          <cell r="A340">
            <v>44408</v>
          </cell>
          <cell r="C340">
            <v>5</v>
          </cell>
        </row>
        <row r="341">
          <cell r="A341">
            <v>44410</v>
          </cell>
          <cell r="C341">
            <v>5</v>
          </cell>
        </row>
        <row r="342">
          <cell r="A342">
            <v>44410</v>
          </cell>
          <cell r="D342">
            <v>5000</v>
          </cell>
        </row>
        <row r="343">
          <cell r="A343">
            <v>44411</v>
          </cell>
          <cell r="C343">
            <v>5</v>
          </cell>
        </row>
        <row r="344">
          <cell r="A344">
            <v>44413</v>
          </cell>
          <cell r="C344">
            <v>900</v>
          </cell>
        </row>
        <row r="345">
          <cell r="A345">
            <v>44413</v>
          </cell>
          <cell r="C345">
            <v>150</v>
          </cell>
        </row>
        <row r="346">
          <cell r="A346">
            <v>44413</v>
          </cell>
          <cell r="C346">
            <v>5</v>
          </cell>
        </row>
        <row r="347">
          <cell r="A347">
            <v>44413</v>
          </cell>
          <cell r="C347">
            <v>5</v>
          </cell>
        </row>
        <row r="348">
          <cell r="A348">
            <v>44414</v>
          </cell>
          <cell r="C348">
            <v>5</v>
          </cell>
        </row>
        <row r="349">
          <cell r="A349">
            <v>44415</v>
          </cell>
          <cell r="C349">
            <v>5</v>
          </cell>
        </row>
        <row r="350">
          <cell r="A350">
            <v>44415</v>
          </cell>
          <cell r="C350">
            <v>137</v>
          </cell>
        </row>
        <row r="351">
          <cell r="A351">
            <v>44418</v>
          </cell>
          <cell r="C351">
            <v>57</v>
          </cell>
        </row>
        <row r="352">
          <cell r="A352">
            <v>44418</v>
          </cell>
          <cell r="C352">
            <v>5</v>
          </cell>
        </row>
        <row r="353">
          <cell r="A353">
            <v>44419</v>
          </cell>
          <cell r="C353">
            <v>5</v>
          </cell>
        </row>
        <row r="354">
          <cell r="A354">
            <v>44420</v>
          </cell>
          <cell r="C354">
            <v>84.199999999999989</v>
          </cell>
        </row>
        <row r="355">
          <cell r="A355">
            <v>44420</v>
          </cell>
          <cell r="C355">
            <v>5</v>
          </cell>
        </row>
        <row r="356">
          <cell r="A356">
            <v>44421</v>
          </cell>
          <cell r="C356">
            <v>5</v>
          </cell>
        </row>
        <row r="357">
          <cell r="A357">
            <v>44422</v>
          </cell>
          <cell r="C357">
            <v>142.1</v>
          </cell>
        </row>
        <row r="358">
          <cell r="A358">
            <v>44422</v>
          </cell>
          <cell r="C358">
            <v>5</v>
          </cell>
        </row>
        <row r="359">
          <cell r="A359">
            <v>44423</v>
          </cell>
          <cell r="C359">
            <v>5</v>
          </cell>
        </row>
        <row r="360">
          <cell r="A360">
            <v>44423</v>
          </cell>
          <cell r="C360">
            <v>46.8</v>
          </cell>
        </row>
        <row r="361">
          <cell r="A361">
            <v>44423</v>
          </cell>
          <cell r="C361">
            <v>104.70000000000002</v>
          </cell>
        </row>
        <row r="362">
          <cell r="A362">
            <v>44423</v>
          </cell>
          <cell r="C362">
            <v>59.1</v>
          </cell>
        </row>
        <row r="363">
          <cell r="A363">
            <v>44424</v>
          </cell>
          <cell r="C363">
            <v>35.1</v>
          </cell>
        </row>
        <row r="364">
          <cell r="A364">
            <v>44425</v>
          </cell>
          <cell r="D364">
            <v>800</v>
          </cell>
        </row>
        <row r="365">
          <cell r="A365">
            <v>44425</v>
          </cell>
          <cell r="C365">
            <v>5</v>
          </cell>
        </row>
        <row r="366">
          <cell r="A366">
            <v>44426</v>
          </cell>
          <cell r="C366">
            <v>5</v>
          </cell>
        </row>
        <row r="367">
          <cell r="A367">
            <v>44426</v>
          </cell>
          <cell r="C367">
            <v>40</v>
          </cell>
        </row>
        <row r="368">
          <cell r="A368">
            <v>44427</v>
          </cell>
          <cell r="C368">
            <v>52.1</v>
          </cell>
        </row>
        <row r="369">
          <cell r="A369">
            <v>44427</v>
          </cell>
          <cell r="C369">
            <v>35</v>
          </cell>
        </row>
        <row r="370">
          <cell r="A370">
            <v>44427</v>
          </cell>
          <cell r="C370">
            <v>5</v>
          </cell>
        </row>
        <row r="371">
          <cell r="A371">
            <v>44428</v>
          </cell>
          <cell r="C371">
            <v>5</v>
          </cell>
        </row>
        <row r="372">
          <cell r="A372">
            <v>44429</v>
          </cell>
          <cell r="C372">
            <v>5</v>
          </cell>
        </row>
        <row r="373">
          <cell r="A373">
            <v>44429</v>
          </cell>
          <cell r="C373">
            <v>177</v>
          </cell>
        </row>
        <row r="374">
          <cell r="A374">
            <v>44430</v>
          </cell>
          <cell r="C374">
            <v>44.2</v>
          </cell>
        </row>
        <row r="375">
          <cell r="A375">
            <v>44431</v>
          </cell>
          <cell r="C375">
            <v>19.2</v>
          </cell>
        </row>
        <row r="376">
          <cell r="A376">
            <v>44432</v>
          </cell>
          <cell r="C376">
            <v>55</v>
          </cell>
        </row>
        <row r="377">
          <cell r="A377">
            <v>44432</v>
          </cell>
          <cell r="C377">
            <v>69.700000000000017</v>
          </cell>
        </row>
        <row r="378">
          <cell r="A378">
            <v>44432</v>
          </cell>
          <cell r="C378">
            <v>5</v>
          </cell>
        </row>
        <row r="379">
          <cell r="A379">
            <v>44433</v>
          </cell>
          <cell r="C379">
            <v>5</v>
          </cell>
        </row>
        <row r="380">
          <cell r="A380">
            <v>44434</v>
          </cell>
          <cell r="C380">
            <v>5</v>
          </cell>
        </row>
        <row r="381">
          <cell r="A381">
            <v>44435</v>
          </cell>
          <cell r="C381">
            <v>5</v>
          </cell>
        </row>
        <row r="382">
          <cell r="A382">
            <v>44436</v>
          </cell>
          <cell r="C382">
            <v>5</v>
          </cell>
        </row>
        <row r="383">
          <cell r="A383">
            <v>44436</v>
          </cell>
          <cell r="C383">
            <v>117</v>
          </cell>
        </row>
        <row r="384">
          <cell r="A384">
            <v>44437</v>
          </cell>
          <cell r="C384">
            <v>131.9</v>
          </cell>
        </row>
        <row r="385">
          <cell r="A385">
            <v>44437</v>
          </cell>
          <cell r="C385">
            <v>182.39999999999998</v>
          </cell>
        </row>
        <row r="386">
          <cell r="A386">
            <v>44438</v>
          </cell>
          <cell r="C386">
            <v>152.29999999999998</v>
          </cell>
        </row>
        <row r="387">
          <cell r="A387">
            <v>44438</v>
          </cell>
          <cell r="C387">
            <v>30.300000000000004</v>
          </cell>
        </row>
        <row r="388">
          <cell r="A388">
            <v>44438</v>
          </cell>
          <cell r="C388">
            <v>15</v>
          </cell>
        </row>
        <row r="389">
          <cell r="A389">
            <v>44439</v>
          </cell>
          <cell r="C389">
            <v>5</v>
          </cell>
        </row>
        <row r="390">
          <cell r="A390">
            <v>44441</v>
          </cell>
          <cell r="C390">
            <v>5</v>
          </cell>
        </row>
        <row r="391">
          <cell r="A391">
            <v>44441</v>
          </cell>
          <cell r="D391">
            <v>5000</v>
          </cell>
        </row>
        <row r="392">
          <cell r="A392">
            <v>44442</v>
          </cell>
          <cell r="C392">
            <v>5</v>
          </cell>
        </row>
        <row r="393">
          <cell r="A393">
            <v>44444</v>
          </cell>
          <cell r="C393">
            <v>900</v>
          </cell>
        </row>
        <row r="394">
          <cell r="A394">
            <v>44444</v>
          </cell>
          <cell r="C394">
            <v>150</v>
          </cell>
        </row>
        <row r="395">
          <cell r="A395">
            <v>44444</v>
          </cell>
          <cell r="C395">
            <v>5</v>
          </cell>
        </row>
        <row r="396">
          <cell r="A396">
            <v>44444</v>
          </cell>
          <cell r="C396">
            <v>5</v>
          </cell>
        </row>
        <row r="397">
          <cell r="A397">
            <v>44445</v>
          </cell>
          <cell r="C397">
            <v>5</v>
          </cell>
        </row>
        <row r="398">
          <cell r="A398">
            <v>44446</v>
          </cell>
          <cell r="C398">
            <v>5</v>
          </cell>
        </row>
        <row r="399">
          <cell r="A399">
            <v>44446</v>
          </cell>
          <cell r="C399">
            <v>163.39999999999998</v>
          </cell>
        </row>
        <row r="400">
          <cell r="A400">
            <v>44449</v>
          </cell>
          <cell r="C400">
            <v>58.1</v>
          </cell>
        </row>
        <row r="401">
          <cell r="A401">
            <v>44449</v>
          </cell>
          <cell r="C401">
            <v>5</v>
          </cell>
        </row>
        <row r="402">
          <cell r="A402">
            <v>44450</v>
          </cell>
          <cell r="C402">
            <v>5</v>
          </cell>
        </row>
        <row r="403">
          <cell r="A403">
            <v>44451</v>
          </cell>
          <cell r="C403">
            <v>85.299999999999983</v>
          </cell>
        </row>
        <row r="404">
          <cell r="A404">
            <v>44451</v>
          </cell>
          <cell r="C404">
            <v>5</v>
          </cell>
        </row>
        <row r="405">
          <cell r="A405">
            <v>44452</v>
          </cell>
          <cell r="C405">
            <v>5</v>
          </cell>
        </row>
        <row r="406">
          <cell r="A406">
            <v>44453</v>
          </cell>
          <cell r="C406">
            <v>143</v>
          </cell>
        </row>
        <row r="407">
          <cell r="A407">
            <v>44453</v>
          </cell>
          <cell r="C407">
            <v>5</v>
          </cell>
        </row>
        <row r="408">
          <cell r="A408">
            <v>44454</v>
          </cell>
          <cell r="C408">
            <v>5</v>
          </cell>
        </row>
        <row r="409">
          <cell r="A409">
            <v>44454</v>
          </cell>
          <cell r="C409">
            <v>47.8</v>
          </cell>
        </row>
        <row r="410">
          <cell r="A410">
            <v>44454</v>
          </cell>
          <cell r="C410">
            <v>105.80000000000001</v>
          </cell>
        </row>
        <row r="411">
          <cell r="A411">
            <v>44454</v>
          </cell>
          <cell r="C411">
            <v>60.1</v>
          </cell>
        </row>
        <row r="412">
          <cell r="A412">
            <v>44455</v>
          </cell>
          <cell r="C412">
            <v>36.200000000000003</v>
          </cell>
        </row>
        <row r="413">
          <cell r="A413">
            <v>44456</v>
          </cell>
          <cell r="D413">
            <v>100</v>
          </cell>
        </row>
        <row r="414">
          <cell r="A414">
            <v>44456</v>
          </cell>
          <cell r="C414">
            <v>5</v>
          </cell>
        </row>
        <row r="415">
          <cell r="A415">
            <v>44457</v>
          </cell>
          <cell r="C415">
            <v>5</v>
          </cell>
        </row>
        <row r="416">
          <cell r="A416">
            <v>44457</v>
          </cell>
          <cell r="C416">
            <v>40</v>
          </cell>
        </row>
        <row r="417">
          <cell r="A417">
            <v>44458</v>
          </cell>
          <cell r="C417">
            <v>53</v>
          </cell>
        </row>
        <row r="418">
          <cell r="A418">
            <v>44458</v>
          </cell>
          <cell r="C418">
            <v>35</v>
          </cell>
        </row>
        <row r="419">
          <cell r="A419">
            <v>44458</v>
          </cell>
          <cell r="C419">
            <v>5</v>
          </cell>
        </row>
        <row r="420">
          <cell r="A420">
            <v>44459</v>
          </cell>
          <cell r="C420">
            <v>5</v>
          </cell>
        </row>
        <row r="421">
          <cell r="A421">
            <v>44460</v>
          </cell>
          <cell r="C421">
            <v>5</v>
          </cell>
        </row>
        <row r="422">
          <cell r="A422">
            <v>44460</v>
          </cell>
          <cell r="C422">
            <v>177.9</v>
          </cell>
        </row>
        <row r="423">
          <cell r="A423">
            <v>44461</v>
          </cell>
          <cell r="C423">
            <v>45.300000000000004</v>
          </cell>
        </row>
        <row r="424">
          <cell r="A424">
            <v>44462</v>
          </cell>
          <cell r="C424">
            <v>20.099999999999998</v>
          </cell>
        </row>
        <row r="425">
          <cell r="A425">
            <v>44463</v>
          </cell>
          <cell r="C425">
            <v>55</v>
          </cell>
        </row>
        <row r="426">
          <cell r="A426">
            <v>44463</v>
          </cell>
          <cell r="C426">
            <v>70.600000000000023</v>
          </cell>
        </row>
        <row r="427">
          <cell r="A427">
            <v>44463</v>
          </cell>
          <cell r="C427">
            <v>5</v>
          </cell>
        </row>
        <row r="428">
          <cell r="A428">
            <v>44464</v>
          </cell>
          <cell r="C428">
            <v>5</v>
          </cell>
        </row>
        <row r="429">
          <cell r="A429">
            <v>44465</v>
          </cell>
          <cell r="C429">
            <v>5</v>
          </cell>
        </row>
        <row r="430">
          <cell r="A430">
            <v>44466</v>
          </cell>
          <cell r="C430">
            <v>5</v>
          </cell>
        </row>
        <row r="431">
          <cell r="A431">
            <v>44467</v>
          </cell>
          <cell r="C431">
            <v>5</v>
          </cell>
        </row>
        <row r="432">
          <cell r="A432">
            <v>44467</v>
          </cell>
          <cell r="C432">
            <v>223</v>
          </cell>
        </row>
        <row r="433">
          <cell r="A433">
            <v>44468</v>
          </cell>
          <cell r="C433">
            <v>132.9</v>
          </cell>
        </row>
        <row r="434">
          <cell r="A434">
            <v>44468</v>
          </cell>
          <cell r="C434">
            <v>175</v>
          </cell>
        </row>
        <row r="435">
          <cell r="A435">
            <v>44469</v>
          </cell>
          <cell r="C435">
            <v>153.39999999999998</v>
          </cell>
        </row>
        <row r="436">
          <cell r="A436">
            <v>44469</v>
          </cell>
          <cell r="C436">
            <v>31.200000000000003</v>
          </cell>
        </row>
        <row r="437">
          <cell r="A437">
            <v>44469</v>
          </cell>
          <cell r="C437">
            <v>15</v>
          </cell>
        </row>
        <row r="438">
          <cell r="A438">
            <v>44470</v>
          </cell>
          <cell r="C438">
            <v>5</v>
          </cell>
        </row>
        <row r="439">
          <cell r="A439">
            <v>44472</v>
          </cell>
          <cell r="C439">
            <v>5</v>
          </cell>
        </row>
        <row r="440">
          <cell r="A440">
            <v>44472</v>
          </cell>
          <cell r="D440">
            <v>5000</v>
          </cell>
        </row>
        <row r="441">
          <cell r="A441">
            <v>44473</v>
          </cell>
          <cell r="C441">
            <v>5</v>
          </cell>
        </row>
        <row r="442">
          <cell r="A442">
            <v>44475</v>
          </cell>
          <cell r="C442">
            <v>900</v>
          </cell>
        </row>
        <row r="443">
          <cell r="A443">
            <v>44475</v>
          </cell>
          <cell r="C443">
            <v>150</v>
          </cell>
        </row>
        <row r="444">
          <cell r="A444">
            <v>44475</v>
          </cell>
          <cell r="C444">
            <v>5</v>
          </cell>
        </row>
        <row r="445">
          <cell r="A445">
            <v>44475</v>
          </cell>
          <cell r="C445">
            <v>5</v>
          </cell>
        </row>
        <row r="446">
          <cell r="A446">
            <v>44476</v>
          </cell>
          <cell r="C446">
            <v>5</v>
          </cell>
        </row>
        <row r="447">
          <cell r="A447">
            <v>44477</v>
          </cell>
          <cell r="C447">
            <v>5</v>
          </cell>
        </row>
        <row r="448">
          <cell r="A448">
            <v>44477</v>
          </cell>
          <cell r="C448">
            <v>105</v>
          </cell>
        </row>
        <row r="449">
          <cell r="A449">
            <v>44480</v>
          </cell>
          <cell r="C449">
            <v>59</v>
          </cell>
        </row>
        <row r="450">
          <cell r="A450">
            <v>44480</v>
          </cell>
          <cell r="C450">
            <v>5</v>
          </cell>
        </row>
        <row r="451">
          <cell r="A451">
            <v>44481</v>
          </cell>
          <cell r="C451">
            <v>5</v>
          </cell>
        </row>
        <row r="452">
          <cell r="A452">
            <v>44482</v>
          </cell>
          <cell r="C452">
            <v>86.399999999999977</v>
          </cell>
        </row>
        <row r="453">
          <cell r="A453">
            <v>44482</v>
          </cell>
          <cell r="C453">
            <v>5</v>
          </cell>
        </row>
        <row r="454">
          <cell r="A454">
            <v>44483</v>
          </cell>
          <cell r="C454">
            <v>5</v>
          </cell>
        </row>
        <row r="455">
          <cell r="A455">
            <v>44484</v>
          </cell>
          <cell r="C455">
            <v>143.9</v>
          </cell>
        </row>
        <row r="456">
          <cell r="A456">
            <v>44484</v>
          </cell>
          <cell r="C456">
            <v>5</v>
          </cell>
        </row>
        <row r="457">
          <cell r="A457">
            <v>44485</v>
          </cell>
          <cell r="C457">
            <v>5</v>
          </cell>
        </row>
        <row r="458">
          <cell r="A458">
            <v>44485</v>
          </cell>
          <cell r="C458">
            <v>48.8</v>
          </cell>
        </row>
        <row r="459">
          <cell r="A459">
            <v>44485</v>
          </cell>
          <cell r="C459">
            <v>106.70000000000002</v>
          </cell>
        </row>
        <row r="460">
          <cell r="A460">
            <v>44485</v>
          </cell>
          <cell r="C460">
            <v>61.1</v>
          </cell>
        </row>
        <row r="461">
          <cell r="A461">
            <v>44486</v>
          </cell>
          <cell r="C461">
            <v>37.200000000000003</v>
          </cell>
        </row>
        <row r="462">
          <cell r="A462">
            <v>44487</v>
          </cell>
          <cell r="D462">
            <v>100</v>
          </cell>
        </row>
        <row r="463">
          <cell r="A463">
            <v>44487</v>
          </cell>
          <cell r="C463">
            <v>5</v>
          </cell>
        </row>
        <row r="464">
          <cell r="A464">
            <v>44488</v>
          </cell>
          <cell r="C464">
            <v>5</v>
          </cell>
        </row>
        <row r="465">
          <cell r="A465">
            <v>44488</v>
          </cell>
          <cell r="C465">
            <v>75</v>
          </cell>
        </row>
        <row r="466">
          <cell r="A466">
            <v>44488</v>
          </cell>
          <cell r="C466">
            <v>40</v>
          </cell>
        </row>
        <row r="467">
          <cell r="A467">
            <v>44489</v>
          </cell>
          <cell r="C467">
            <v>54.1</v>
          </cell>
        </row>
        <row r="468">
          <cell r="A468">
            <v>44489</v>
          </cell>
          <cell r="C468">
            <v>35</v>
          </cell>
        </row>
        <row r="469">
          <cell r="A469">
            <v>44489</v>
          </cell>
          <cell r="C469">
            <v>5</v>
          </cell>
        </row>
        <row r="470">
          <cell r="A470">
            <v>44490</v>
          </cell>
          <cell r="C470">
            <v>5</v>
          </cell>
        </row>
        <row r="471">
          <cell r="A471">
            <v>44491</v>
          </cell>
          <cell r="C471">
            <v>5</v>
          </cell>
        </row>
        <row r="472">
          <cell r="A472">
            <v>44491</v>
          </cell>
          <cell r="C472">
            <v>178.9</v>
          </cell>
        </row>
        <row r="473">
          <cell r="A473">
            <v>44492</v>
          </cell>
          <cell r="C473">
            <v>46.2</v>
          </cell>
        </row>
        <row r="474">
          <cell r="A474">
            <v>44493</v>
          </cell>
          <cell r="C474">
            <v>21.099999999999998</v>
          </cell>
        </row>
        <row r="475">
          <cell r="A475">
            <v>44494</v>
          </cell>
          <cell r="C475">
            <v>55</v>
          </cell>
        </row>
        <row r="476">
          <cell r="A476">
            <v>44494</v>
          </cell>
          <cell r="C476">
            <v>71.500000000000028</v>
          </cell>
        </row>
        <row r="477">
          <cell r="A477">
            <v>44494</v>
          </cell>
          <cell r="C477">
            <v>5</v>
          </cell>
        </row>
        <row r="478">
          <cell r="A478">
            <v>44495</v>
          </cell>
          <cell r="C478">
            <v>5</v>
          </cell>
        </row>
        <row r="479">
          <cell r="A479">
            <v>44496</v>
          </cell>
          <cell r="C479">
            <v>5</v>
          </cell>
        </row>
        <row r="480">
          <cell r="A480">
            <v>44497</v>
          </cell>
          <cell r="C480">
            <v>5</v>
          </cell>
        </row>
        <row r="481">
          <cell r="A481">
            <v>44498</v>
          </cell>
          <cell r="C481">
            <v>5</v>
          </cell>
        </row>
        <row r="482">
          <cell r="A482">
            <v>44498</v>
          </cell>
          <cell r="C482">
            <v>189</v>
          </cell>
        </row>
        <row r="483">
          <cell r="A483">
            <v>44499</v>
          </cell>
          <cell r="C483">
            <v>133.80000000000001</v>
          </cell>
        </row>
        <row r="484">
          <cell r="A484">
            <v>44499</v>
          </cell>
          <cell r="C484">
            <v>184.39999999999998</v>
          </cell>
        </row>
        <row r="485">
          <cell r="A485">
            <v>44500</v>
          </cell>
          <cell r="C485">
            <v>154.49999999999997</v>
          </cell>
        </row>
        <row r="486">
          <cell r="A486">
            <v>44500</v>
          </cell>
          <cell r="C486">
            <v>32.1</v>
          </cell>
        </row>
        <row r="487">
          <cell r="A487">
            <v>44500</v>
          </cell>
          <cell r="C487">
            <v>15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11C6-F0D8-4E1C-9EE9-5DFF595FC859}">
  <dimension ref="A1:J487"/>
  <sheetViews>
    <sheetView tabSelected="1" workbookViewId="0">
      <selection activeCell="K14" sqref="K14"/>
    </sheetView>
  </sheetViews>
  <sheetFormatPr defaultRowHeight="15" x14ac:dyDescent="0.25"/>
  <cols>
    <col min="1" max="1" width="8.7109375" style="17" customWidth="1"/>
    <col min="2" max="2" width="17.28515625" customWidth="1"/>
    <col min="5" max="5" width="16.7109375" customWidth="1"/>
    <col min="6" max="6" width="14.7109375" customWidth="1"/>
    <col min="7" max="7" width="15" customWidth="1"/>
    <col min="8" max="8" width="16" customWidth="1"/>
    <col min="9" max="9" width="13.140625" style="18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x14ac:dyDescent="0.25">
      <c r="A2" s="5">
        <v>44200</v>
      </c>
      <c r="B2" s="6" t="s">
        <v>10</v>
      </c>
      <c r="C2" s="6"/>
      <c r="D2" s="6">
        <v>5000</v>
      </c>
      <c r="E2" s="6" t="s">
        <v>11</v>
      </c>
      <c r="F2" s="6" t="s">
        <v>12</v>
      </c>
      <c r="G2" s="6" t="s">
        <v>13</v>
      </c>
      <c r="H2" s="6">
        <f>MONTH([1]Dataset!$A2)</f>
        <v>1</v>
      </c>
      <c r="I2" s="7">
        <f>WEEKDAY([1]Dataset!$A2)</f>
        <v>2</v>
      </c>
      <c r="J2" s="8">
        <f>[1]Dataset!$D2-[1]Dataset!$C2</f>
        <v>5000</v>
      </c>
    </row>
    <row r="3" spans="1:10" x14ac:dyDescent="0.25">
      <c r="A3" s="9">
        <v>44200</v>
      </c>
      <c r="B3" s="10" t="s">
        <v>14</v>
      </c>
      <c r="C3" s="10">
        <v>5</v>
      </c>
      <c r="D3" s="10"/>
      <c r="E3" s="10" t="s">
        <v>15</v>
      </c>
      <c r="F3" s="10" t="s">
        <v>16</v>
      </c>
      <c r="G3" s="10" t="s">
        <v>17</v>
      </c>
      <c r="H3" s="10">
        <f>MONTH([1]Dataset!$A3)</f>
        <v>1</v>
      </c>
      <c r="I3" s="11">
        <f>WEEKDAY([1]Dataset!$A3)</f>
        <v>2</v>
      </c>
      <c r="J3" s="12">
        <f>[1]Dataset!$D3-[1]Dataset!$C3</f>
        <v>-5</v>
      </c>
    </row>
    <row r="4" spans="1:10" x14ac:dyDescent="0.25">
      <c r="A4" s="5">
        <v>44201</v>
      </c>
      <c r="B4" s="6" t="s">
        <v>18</v>
      </c>
      <c r="C4" s="6">
        <v>900</v>
      </c>
      <c r="D4" s="6"/>
      <c r="E4" s="6" t="s">
        <v>19</v>
      </c>
      <c r="F4" s="6" t="s">
        <v>20</v>
      </c>
      <c r="G4" s="6" t="s">
        <v>17</v>
      </c>
      <c r="H4" s="6">
        <f>MONTH([1]Dataset!$A4)</f>
        <v>1</v>
      </c>
      <c r="I4" s="7">
        <f>WEEKDAY([1]Dataset!$A4)</f>
        <v>3</v>
      </c>
      <c r="J4" s="8">
        <f>[1]Dataset!$D4-[1]Dataset!$C4</f>
        <v>-900</v>
      </c>
    </row>
    <row r="5" spans="1:10" x14ac:dyDescent="0.25">
      <c r="A5" s="9">
        <v>44201</v>
      </c>
      <c r="B5" s="10" t="s">
        <v>21</v>
      </c>
      <c r="C5" s="10">
        <v>150</v>
      </c>
      <c r="D5" s="10"/>
      <c r="E5" s="10" t="s">
        <v>22</v>
      </c>
      <c r="F5" s="10" t="s">
        <v>23</v>
      </c>
      <c r="G5" s="10" t="s">
        <v>17</v>
      </c>
      <c r="H5" s="10">
        <f>MONTH([1]Dataset!$A5)</f>
        <v>1</v>
      </c>
      <c r="I5" s="11">
        <f>WEEKDAY([1]Dataset!$A5)</f>
        <v>3</v>
      </c>
      <c r="J5" s="12">
        <f>[1]Dataset!$D5-[1]Dataset!$C5</f>
        <v>-150</v>
      </c>
    </row>
    <row r="6" spans="1:10" x14ac:dyDescent="0.25">
      <c r="A6" s="5">
        <v>44201</v>
      </c>
      <c r="B6" s="6" t="s">
        <v>14</v>
      </c>
      <c r="C6" s="6">
        <v>5</v>
      </c>
      <c r="D6" s="6"/>
      <c r="E6" s="6" t="s">
        <v>15</v>
      </c>
      <c r="F6" s="6" t="s">
        <v>16</v>
      </c>
      <c r="G6" s="6" t="s">
        <v>17</v>
      </c>
      <c r="H6" s="6">
        <f>MONTH([1]Dataset!$A6)</f>
        <v>1</v>
      </c>
      <c r="I6" s="7">
        <f>WEEKDAY([1]Dataset!$A6)</f>
        <v>3</v>
      </c>
      <c r="J6" s="8">
        <f>[1]Dataset!$D6-[1]Dataset!$C6</f>
        <v>-5</v>
      </c>
    </row>
    <row r="7" spans="1:10" x14ac:dyDescent="0.25">
      <c r="A7" s="9">
        <v>44202</v>
      </c>
      <c r="B7" s="10" t="s">
        <v>14</v>
      </c>
      <c r="C7" s="10">
        <v>5</v>
      </c>
      <c r="D7" s="10"/>
      <c r="E7" s="10" t="s">
        <v>15</v>
      </c>
      <c r="F7" s="10" t="s">
        <v>16</v>
      </c>
      <c r="G7" s="10" t="s">
        <v>17</v>
      </c>
      <c r="H7" s="10">
        <f>MONTH([1]Dataset!$A7)</f>
        <v>1</v>
      </c>
      <c r="I7" s="11">
        <f>WEEKDAY([1]Dataset!$A7)</f>
        <v>4</v>
      </c>
      <c r="J7" s="12">
        <f>[1]Dataset!$D7-[1]Dataset!$C7</f>
        <v>-5</v>
      </c>
    </row>
    <row r="8" spans="1:10" x14ac:dyDescent="0.25">
      <c r="A8" s="5">
        <v>44203</v>
      </c>
      <c r="B8" s="6" t="s">
        <v>14</v>
      </c>
      <c r="C8" s="6">
        <v>5</v>
      </c>
      <c r="D8" s="6"/>
      <c r="E8" s="6" t="s">
        <v>15</v>
      </c>
      <c r="F8" s="6" t="s">
        <v>16</v>
      </c>
      <c r="G8" s="6" t="s">
        <v>17</v>
      </c>
      <c r="H8" s="6">
        <f>MONTH([1]Dataset!$A8)</f>
        <v>1</v>
      </c>
      <c r="I8" s="7">
        <f>WEEKDAY([1]Dataset!$A8)</f>
        <v>5</v>
      </c>
      <c r="J8" s="8">
        <f>[1]Dataset!$D8-[1]Dataset!$C8</f>
        <v>-5</v>
      </c>
    </row>
    <row r="9" spans="1:10" x14ac:dyDescent="0.25">
      <c r="A9" s="9">
        <v>44204</v>
      </c>
      <c r="B9" s="10" t="s">
        <v>14</v>
      </c>
      <c r="C9" s="10">
        <v>5</v>
      </c>
      <c r="D9" s="10"/>
      <c r="E9" s="10" t="s">
        <v>15</v>
      </c>
      <c r="F9" s="10" t="s">
        <v>16</v>
      </c>
      <c r="G9" s="10" t="s">
        <v>17</v>
      </c>
      <c r="H9" s="10">
        <f>MONTH([1]Dataset!$A9)</f>
        <v>1</v>
      </c>
      <c r="I9" s="11">
        <f>WEEKDAY([1]Dataset!$A9)</f>
        <v>6</v>
      </c>
      <c r="J9" s="12">
        <f>[1]Dataset!$D9-[1]Dataset!$C9</f>
        <v>-5</v>
      </c>
    </row>
    <row r="10" spans="1:10" x14ac:dyDescent="0.25">
      <c r="A10" s="5">
        <v>44204</v>
      </c>
      <c r="B10" s="6" t="s">
        <v>24</v>
      </c>
      <c r="C10" s="6">
        <v>155</v>
      </c>
      <c r="D10" s="6"/>
      <c r="E10" s="6" t="s">
        <v>25</v>
      </c>
      <c r="F10" s="6" t="s">
        <v>20</v>
      </c>
      <c r="G10" s="6" t="s">
        <v>17</v>
      </c>
      <c r="H10" s="6">
        <f>MONTH([1]Dataset!$A10)</f>
        <v>1</v>
      </c>
      <c r="I10" s="7">
        <f>WEEKDAY([1]Dataset!$A10)</f>
        <v>6</v>
      </c>
      <c r="J10" s="8">
        <f>[1]Dataset!$D10-[1]Dataset!$C10</f>
        <v>-155</v>
      </c>
    </row>
    <row r="11" spans="1:10" x14ac:dyDescent="0.25">
      <c r="A11" s="9">
        <v>44207</v>
      </c>
      <c r="B11" s="10" t="s">
        <v>26</v>
      </c>
      <c r="C11" s="10">
        <v>50</v>
      </c>
      <c r="D11" s="10"/>
      <c r="E11" s="10" t="s">
        <v>27</v>
      </c>
      <c r="F11" s="10" t="s">
        <v>20</v>
      </c>
      <c r="G11" s="10" t="s">
        <v>17</v>
      </c>
      <c r="H11" s="10">
        <f>MONTH([1]Dataset!$A11)</f>
        <v>1</v>
      </c>
      <c r="I11" s="11">
        <f>WEEKDAY([1]Dataset!$A11)</f>
        <v>2</v>
      </c>
      <c r="J11" s="12">
        <f>[1]Dataset!$D11-[1]Dataset!$C11</f>
        <v>-50</v>
      </c>
    </row>
    <row r="12" spans="1:10" x14ac:dyDescent="0.25">
      <c r="A12" s="5">
        <v>44207</v>
      </c>
      <c r="B12" s="6" t="s">
        <v>14</v>
      </c>
      <c r="C12" s="6">
        <v>5</v>
      </c>
      <c r="D12" s="6"/>
      <c r="E12" s="6" t="s">
        <v>15</v>
      </c>
      <c r="F12" s="6" t="s">
        <v>16</v>
      </c>
      <c r="G12" s="6" t="s">
        <v>17</v>
      </c>
      <c r="H12" s="6">
        <f>MONTH([1]Dataset!$A12)</f>
        <v>1</v>
      </c>
      <c r="I12" s="7">
        <f>WEEKDAY([1]Dataset!$A12)</f>
        <v>2</v>
      </c>
      <c r="J12" s="8">
        <f>[1]Dataset!$D12-[1]Dataset!$C12</f>
        <v>-5</v>
      </c>
    </row>
    <row r="13" spans="1:10" x14ac:dyDescent="0.25">
      <c r="A13" s="9">
        <v>44208</v>
      </c>
      <c r="B13" s="10" t="s">
        <v>14</v>
      </c>
      <c r="C13" s="10">
        <v>5</v>
      </c>
      <c r="D13" s="10"/>
      <c r="E13" s="10" t="s">
        <v>15</v>
      </c>
      <c r="F13" s="10" t="s">
        <v>16</v>
      </c>
      <c r="G13" s="10" t="s">
        <v>17</v>
      </c>
      <c r="H13" s="10">
        <f>MONTH([1]Dataset!$A13)</f>
        <v>1</v>
      </c>
      <c r="I13" s="11">
        <f>WEEKDAY([1]Dataset!$A13)</f>
        <v>3</v>
      </c>
      <c r="J13" s="12">
        <f>[1]Dataset!$D13-[1]Dataset!$C13</f>
        <v>-5</v>
      </c>
    </row>
    <row r="14" spans="1:10" x14ac:dyDescent="0.25">
      <c r="A14" s="5">
        <v>44209</v>
      </c>
      <c r="B14" s="6" t="s">
        <v>28</v>
      </c>
      <c r="C14" s="6">
        <v>77</v>
      </c>
      <c r="D14" s="6"/>
      <c r="E14" s="6" t="s">
        <v>15</v>
      </c>
      <c r="F14" s="6" t="s">
        <v>16</v>
      </c>
      <c r="G14" s="6" t="s">
        <v>17</v>
      </c>
      <c r="H14" s="6">
        <f>MONTH([1]Dataset!$A14)</f>
        <v>1</v>
      </c>
      <c r="I14" s="7">
        <f>WEEKDAY([1]Dataset!$A14)</f>
        <v>4</v>
      </c>
      <c r="J14" s="8">
        <f>[1]Dataset!$D14-[1]Dataset!$C14</f>
        <v>-77</v>
      </c>
    </row>
    <row r="15" spans="1:10" x14ac:dyDescent="0.25">
      <c r="A15" s="9">
        <v>44209</v>
      </c>
      <c r="B15" s="10" t="s">
        <v>14</v>
      </c>
      <c r="C15" s="10">
        <v>5</v>
      </c>
      <c r="D15" s="10"/>
      <c r="E15" s="10" t="s">
        <v>15</v>
      </c>
      <c r="F15" s="10" t="s">
        <v>16</v>
      </c>
      <c r="G15" s="10" t="s">
        <v>17</v>
      </c>
      <c r="H15" s="10">
        <f>MONTH([1]Dataset!$A15)</f>
        <v>1</v>
      </c>
      <c r="I15" s="11">
        <f>WEEKDAY([1]Dataset!$A15)</f>
        <v>4</v>
      </c>
      <c r="J15" s="12">
        <f>[1]Dataset!$D15-[1]Dataset!$C15</f>
        <v>-5</v>
      </c>
    </row>
    <row r="16" spans="1:10" x14ac:dyDescent="0.25">
      <c r="A16" s="5">
        <v>44210</v>
      </c>
      <c r="B16" s="6" t="s">
        <v>14</v>
      </c>
      <c r="C16" s="6">
        <v>5</v>
      </c>
      <c r="D16" s="6"/>
      <c r="E16" s="6" t="s">
        <v>15</v>
      </c>
      <c r="F16" s="6" t="s">
        <v>16</v>
      </c>
      <c r="G16" s="6" t="s">
        <v>17</v>
      </c>
      <c r="H16" s="6">
        <f>MONTH([1]Dataset!$A16)</f>
        <v>1</v>
      </c>
      <c r="I16" s="7">
        <f>WEEKDAY([1]Dataset!$A16)</f>
        <v>5</v>
      </c>
      <c r="J16" s="8">
        <f>[1]Dataset!$D16-[1]Dataset!$C16</f>
        <v>-5</v>
      </c>
    </row>
    <row r="17" spans="1:10" x14ac:dyDescent="0.25">
      <c r="A17" s="9">
        <v>44211</v>
      </c>
      <c r="B17" s="10" t="s">
        <v>24</v>
      </c>
      <c r="C17" s="10">
        <v>135</v>
      </c>
      <c r="D17" s="10"/>
      <c r="E17" s="10" t="s">
        <v>25</v>
      </c>
      <c r="F17" s="10" t="s">
        <v>20</v>
      </c>
      <c r="G17" s="10" t="s">
        <v>17</v>
      </c>
      <c r="H17" s="10">
        <f>MONTH([1]Dataset!$A17)</f>
        <v>1</v>
      </c>
      <c r="I17" s="11">
        <f>WEEKDAY([1]Dataset!$A17)</f>
        <v>6</v>
      </c>
      <c r="J17" s="12">
        <f>[1]Dataset!$D17-[1]Dataset!$C17</f>
        <v>-135</v>
      </c>
    </row>
    <row r="18" spans="1:10" x14ac:dyDescent="0.25">
      <c r="A18" s="5">
        <v>44211</v>
      </c>
      <c r="B18" s="6" t="s">
        <v>14</v>
      </c>
      <c r="C18" s="6">
        <v>5</v>
      </c>
      <c r="D18" s="6"/>
      <c r="E18" s="6" t="s">
        <v>15</v>
      </c>
      <c r="F18" s="6" t="s">
        <v>16</v>
      </c>
      <c r="G18" s="6" t="s">
        <v>17</v>
      </c>
      <c r="H18" s="6">
        <f>MONTH([1]Dataset!$A18)</f>
        <v>1</v>
      </c>
      <c r="I18" s="7">
        <f>WEEKDAY([1]Dataset!$A18)</f>
        <v>6</v>
      </c>
      <c r="J18" s="8">
        <f>[1]Dataset!$D18-[1]Dataset!$C18</f>
        <v>-5</v>
      </c>
    </row>
    <row r="19" spans="1:10" x14ac:dyDescent="0.25">
      <c r="A19" s="9">
        <v>44212</v>
      </c>
      <c r="B19" s="10" t="s">
        <v>14</v>
      </c>
      <c r="C19" s="10">
        <v>5</v>
      </c>
      <c r="D19" s="10"/>
      <c r="E19" s="10" t="s">
        <v>15</v>
      </c>
      <c r="F19" s="10" t="s">
        <v>16</v>
      </c>
      <c r="G19" s="10" t="s">
        <v>17</v>
      </c>
      <c r="H19" s="10">
        <f>MONTH([1]Dataset!$A19)</f>
        <v>1</v>
      </c>
      <c r="I19" s="11">
        <f>WEEKDAY([1]Dataset!$A19)</f>
        <v>7</v>
      </c>
      <c r="J19" s="12">
        <f>[1]Dataset!$D19-[1]Dataset!$C19</f>
        <v>-5</v>
      </c>
    </row>
    <row r="20" spans="1:10" x14ac:dyDescent="0.25">
      <c r="A20" s="5">
        <v>44212</v>
      </c>
      <c r="B20" s="6" t="s">
        <v>29</v>
      </c>
      <c r="C20" s="6">
        <v>40</v>
      </c>
      <c r="D20" s="6"/>
      <c r="E20" s="6" t="s">
        <v>30</v>
      </c>
      <c r="F20" s="6" t="s">
        <v>31</v>
      </c>
      <c r="G20" s="6" t="s">
        <v>17</v>
      </c>
      <c r="H20" s="6">
        <f>MONTH([1]Dataset!$A20)</f>
        <v>1</v>
      </c>
      <c r="I20" s="7">
        <f>WEEKDAY([1]Dataset!$A20)</f>
        <v>7</v>
      </c>
      <c r="J20" s="8">
        <f>[1]Dataset!$D20-[1]Dataset!$C20</f>
        <v>-40</v>
      </c>
    </row>
    <row r="21" spans="1:10" x14ac:dyDescent="0.25">
      <c r="A21" s="9">
        <v>44212</v>
      </c>
      <c r="B21" s="10" t="s">
        <v>32</v>
      </c>
      <c r="C21" s="10">
        <v>98</v>
      </c>
      <c r="D21" s="10"/>
      <c r="E21" s="10" t="s">
        <v>33</v>
      </c>
      <c r="F21" s="10" t="s">
        <v>31</v>
      </c>
      <c r="G21" s="10" t="s">
        <v>17</v>
      </c>
      <c r="H21" s="10">
        <f>MONTH([1]Dataset!$A21)</f>
        <v>1</v>
      </c>
      <c r="I21" s="11">
        <f>WEEKDAY([1]Dataset!$A21)</f>
        <v>7</v>
      </c>
      <c r="J21" s="12">
        <f>[1]Dataset!$D21-[1]Dataset!$C21</f>
        <v>-98</v>
      </c>
    </row>
    <row r="22" spans="1:10" x14ac:dyDescent="0.25">
      <c r="A22" s="5">
        <v>44212</v>
      </c>
      <c r="B22" s="6" t="s">
        <v>34</v>
      </c>
      <c r="C22" s="6">
        <v>52</v>
      </c>
      <c r="D22" s="6"/>
      <c r="E22" s="6" t="s">
        <v>35</v>
      </c>
      <c r="F22" s="6" t="s">
        <v>16</v>
      </c>
      <c r="G22" s="6" t="s">
        <v>17</v>
      </c>
      <c r="H22" s="6">
        <f>MONTH([1]Dataset!$A22)</f>
        <v>1</v>
      </c>
      <c r="I22" s="7">
        <f>WEEKDAY([1]Dataset!$A22)</f>
        <v>7</v>
      </c>
      <c r="J22" s="8">
        <f>[1]Dataset!$D22-[1]Dataset!$C22</f>
        <v>-52</v>
      </c>
    </row>
    <row r="23" spans="1:10" x14ac:dyDescent="0.25">
      <c r="A23" s="9">
        <v>44213</v>
      </c>
      <c r="B23" s="10" t="s">
        <v>36</v>
      </c>
      <c r="C23" s="10">
        <v>28</v>
      </c>
      <c r="D23" s="10"/>
      <c r="E23" s="10" t="s">
        <v>37</v>
      </c>
      <c r="F23" s="10" t="s">
        <v>23</v>
      </c>
      <c r="G23" s="10" t="s">
        <v>17</v>
      </c>
      <c r="H23" s="10">
        <f>MONTH([1]Dataset!$A23)</f>
        <v>1</v>
      </c>
      <c r="I23" s="11">
        <f>WEEKDAY([1]Dataset!$A23)</f>
        <v>1</v>
      </c>
      <c r="J23" s="12">
        <f>[1]Dataset!$D23-[1]Dataset!$C23</f>
        <v>-28</v>
      </c>
    </row>
    <row r="24" spans="1:10" x14ac:dyDescent="0.25">
      <c r="A24" s="5">
        <v>44214</v>
      </c>
      <c r="B24" s="6" t="s">
        <v>38</v>
      </c>
      <c r="C24" s="6"/>
      <c r="D24" s="6">
        <v>4500</v>
      </c>
      <c r="E24" s="6" t="s">
        <v>39</v>
      </c>
      <c r="F24" s="6" t="s">
        <v>40</v>
      </c>
      <c r="G24" s="6" t="s">
        <v>13</v>
      </c>
      <c r="H24" s="6">
        <f>MONTH([1]Dataset!$A24)</f>
        <v>1</v>
      </c>
      <c r="I24" s="7">
        <f>WEEKDAY([1]Dataset!$A24)</f>
        <v>2</v>
      </c>
      <c r="J24" s="8">
        <f>[1]Dataset!$D24-[1]Dataset!$C24</f>
        <v>4500</v>
      </c>
    </row>
    <row r="25" spans="1:10" x14ac:dyDescent="0.25">
      <c r="A25" s="9">
        <v>44214</v>
      </c>
      <c r="B25" s="10" t="s">
        <v>14</v>
      </c>
      <c r="C25" s="10">
        <v>5</v>
      </c>
      <c r="D25" s="10"/>
      <c r="E25" s="10" t="s">
        <v>15</v>
      </c>
      <c r="F25" s="10" t="s">
        <v>16</v>
      </c>
      <c r="G25" s="10" t="s">
        <v>17</v>
      </c>
      <c r="H25" s="10">
        <f>MONTH([1]Dataset!$A25)</f>
        <v>1</v>
      </c>
      <c r="I25" s="11">
        <f>WEEKDAY([1]Dataset!$A25)</f>
        <v>2</v>
      </c>
      <c r="J25" s="12">
        <f>[1]Dataset!$D25-[1]Dataset!$C25</f>
        <v>-5</v>
      </c>
    </row>
    <row r="26" spans="1:10" x14ac:dyDescent="0.25">
      <c r="A26" s="5">
        <v>44215</v>
      </c>
      <c r="B26" s="6" t="s">
        <v>14</v>
      </c>
      <c r="C26" s="6">
        <v>5</v>
      </c>
      <c r="D26" s="6"/>
      <c r="E26" s="6" t="s">
        <v>15</v>
      </c>
      <c r="F26" s="6" t="s">
        <v>16</v>
      </c>
      <c r="G26" s="6" t="s">
        <v>17</v>
      </c>
      <c r="H26" s="6">
        <f>MONTH([1]Dataset!$A26)</f>
        <v>1</v>
      </c>
      <c r="I26" s="7">
        <f>WEEKDAY([1]Dataset!$A26)</f>
        <v>3</v>
      </c>
      <c r="J26" s="8">
        <f>[1]Dataset!$D26-[1]Dataset!$C26</f>
        <v>-5</v>
      </c>
    </row>
    <row r="27" spans="1:10" x14ac:dyDescent="0.25">
      <c r="A27" s="9">
        <v>44215</v>
      </c>
      <c r="B27" s="10" t="s">
        <v>38</v>
      </c>
      <c r="C27" s="10"/>
      <c r="D27" s="10">
        <v>4500</v>
      </c>
      <c r="E27" s="10" t="s">
        <v>41</v>
      </c>
      <c r="F27" s="10" t="s">
        <v>40</v>
      </c>
      <c r="G27" s="10" t="s">
        <v>13</v>
      </c>
      <c r="H27" s="10">
        <f>MONTH([1]Dataset!$A27)</f>
        <v>1</v>
      </c>
      <c r="I27" s="11">
        <f>WEEKDAY([1]Dataset!$A27)</f>
        <v>3</v>
      </c>
      <c r="J27" s="12">
        <f>[1]Dataset!$D27-[1]Dataset!$C27</f>
        <v>4500</v>
      </c>
    </row>
    <row r="28" spans="1:10" x14ac:dyDescent="0.25">
      <c r="A28" s="5">
        <v>44215</v>
      </c>
      <c r="B28" s="6" t="s">
        <v>42</v>
      </c>
      <c r="C28" s="6">
        <v>40</v>
      </c>
      <c r="D28" s="6"/>
      <c r="E28" s="6" t="s">
        <v>42</v>
      </c>
      <c r="F28" s="6" t="s">
        <v>20</v>
      </c>
      <c r="G28" s="6" t="s">
        <v>17</v>
      </c>
      <c r="H28" s="6">
        <f>MONTH([1]Dataset!$A28)</f>
        <v>1</v>
      </c>
      <c r="I28" s="7">
        <f>WEEKDAY([1]Dataset!$A28)</f>
        <v>3</v>
      </c>
      <c r="J28" s="8">
        <f>[1]Dataset!$D28-[1]Dataset!$C28</f>
        <v>-40</v>
      </c>
    </row>
    <row r="29" spans="1:10" x14ac:dyDescent="0.25">
      <c r="A29" s="9">
        <v>44216</v>
      </c>
      <c r="B29" s="10" t="s">
        <v>43</v>
      </c>
      <c r="C29" s="10">
        <v>45</v>
      </c>
      <c r="D29" s="10"/>
      <c r="E29" s="10" t="s">
        <v>44</v>
      </c>
      <c r="F29" s="10" t="s">
        <v>31</v>
      </c>
      <c r="G29" s="10" t="s">
        <v>17</v>
      </c>
      <c r="H29" s="10">
        <f>MONTH([1]Dataset!$A29)</f>
        <v>1</v>
      </c>
      <c r="I29" s="11">
        <f>WEEKDAY([1]Dataset!$A29)</f>
        <v>4</v>
      </c>
      <c r="J29" s="12">
        <f>[1]Dataset!$D29-[1]Dataset!$C29</f>
        <v>-45</v>
      </c>
    </row>
    <row r="30" spans="1:10" x14ac:dyDescent="0.25">
      <c r="A30" s="5">
        <v>44216</v>
      </c>
      <c r="B30" s="6" t="s">
        <v>45</v>
      </c>
      <c r="C30" s="6">
        <v>32</v>
      </c>
      <c r="D30" s="6"/>
      <c r="E30" s="6" t="s">
        <v>30</v>
      </c>
      <c r="F30" s="6" t="s">
        <v>31</v>
      </c>
      <c r="G30" s="6" t="s">
        <v>17</v>
      </c>
      <c r="H30" s="6">
        <f>MONTH([1]Dataset!$A30)</f>
        <v>1</v>
      </c>
      <c r="I30" s="7">
        <f>WEEKDAY([1]Dataset!$A30)</f>
        <v>4</v>
      </c>
      <c r="J30" s="8">
        <f>[1]Dataset!$D30-[1]Dataset!$C30</f>
        <v>-32</v>
      </c>
    </row>
    <row r="31" spans="1:10" x14ac:dyDescent="0.25">
      <c r="A31" s="9">
        <v>44216</v>
      </c>
      <c r="B31" s="10" t="s">
        <v>14</v>
      </c>
      <c r="C31" s="10">
        <v>5</v>
      </c>
      <c r="D31" s="10"/>
      <c r="E31" s="10" t="s">
        <v>15</v>
      </c>
      <c r="F31" s="10" t="s">
        <v>16</v>
      </c>
      <c r="G31" s="10" t="s">
        <v>17</v>
      </c>
      <c r="H31" s="10">
        <f>MONTH([1]Dataset!$A31)</f>
        <v>1</v>
      </c>
      <c r="I31" s="11">
        <f>WEEKDAY([1]Dataset!$A31)</f>
        <v>4</v>
      </c>
      <c r="J31" s="12">
        <f>[1]Dataset!$D31-[1]Dataset!$C31</f>
        <v>-5</v>
      </c>
    </row>
    <row r="32" spans="1:10" x14ac:dyDescent="0.25">
      <c r="A32" s="5">
        <v>44217</v>
      </c>
      <c r="B32" s="6" t="s">
        <v>14</v>
      </c>
      <c r="C32" s="6">
        <v>5</v>
      </c>
      <c r="D32" s="6"/>
      <c r="E32" s="6" t="s">
        <v>15</v>
      </c>
      <c r="F32" s="6" t="s">
        <v>16</v>
      </c>
      <c r="G32" s="6" t="s">
        <v>17</v>
      </c>
      <c r="H32" s="6">
        <f>MONTH([1]Dataset!$A32)</f>
        <v>1</v>
      </c>
      <c r="I32" s="7">
        <f>WEEKDAY([1]Dataset!$A32)</f>
        <v>5</v>
      </c>
      <c r="J32" s="8">
        <f>[1]Dataset!$D32-[1]Dataset!$C32</f>
        <v>-5</v>
      </c>
    </row>
    <row r="33" spans="1:10" x14ac:dyDescent="0.25">
      <c r="A33" s="9">
        <v>44218</v>
      </c>
      <c r="B33" s="10" t="s">
        <v>14</v>
      </c>
      <c r="C33" s="10">
        <v>5</v>
      </c>
      <c r="D33" s="10"/>
      <c r="E33" s="10" t="s">
        <v>15</v>
      </c>
      <c r="F33" s="10" t="s">
        <v>16</v>
      </c>
      <c r="G33" s="10" t="s">
        <v>17</v>
      </c>
      <c r="H33" s="10">
        <f>MONTH([1]Dataset!$A33)</f>
        <v>1</v>
      </c>
      <c r="I33" s="11">
        <f>WEEKDAY([1]Dataset!$A33)</f>
        <v>6</v>
      </c>
      <c r="J33" s="12">
        <f>[1]Dataset!$D33-[1]Dataset!$C33</f>
        <v>-5</v>
      </c>
    </row>
    <row r="34" spans="1:10" x14ac:dyDescent="0.25">
      <c r="A34" s="5">
        <v>44218</v>
      </c>
      <c r="B34" s="6" t="s">
        <v>24</v>
      </c>
      <c r="C34" s="6">
        <v>170</v>
      </c>
      <c r="D34" s="6"/>
      <c r="E34" s="6" t="s">
        <v>25</v>
      </c>
      <c r="F34" s="6" t="s">
        <v>20</v>
      </c>
      <c r="G34" s="6" t="s">
        <v>17</v>
      </c>
      <c r="H34" s="6">
        <f>MONTH([1]Dataset!$A34)</f>
        <v>1</v>
      </c>
      <c r="I34" s="7">
        <f>WEEKDAY([1]Dataset!$A34)</f>
        <v>6</v>
      </c>
      <c r="J34" s="8">
        <f>[1]Dataset!$D34-[1]Dataset!$C34</f>
        <v>-170</v>
      </c>
    </row>
    <row r="35" spans="1:10" x14ac:dyDescent="0.25">
      <c r="A35" s="9">
        <v>44219</v>
      </c>
      <c r="B35" s="10" t="s">
        <v>46</v>
      </c>
      <c r="C35" s="10">
        <v>37</v>
      </c>
      <c r="D35" s="10"/>
      <c r="E35" s="10" t="s">
        <v>35</v>
      </c>
      <c r="F35" s="10" t="s">
        <v>16</v>
      </c>
      <c r="G35" s="10" t="s">
        <v>17</v>
      </c>
      <c r="H35" s="10">
        <f>MONTH([1]Dataset!$A35)</f>
        <v>1</v>
      </c>
      <c r="I35" s="11">
        <f>WEEKDAY([1]Dataset!$A35)</f>
        <v>7</v>
      </c>
      <c r="J35" s="12">
        <f>[1]Dataset!$D35-[1]Dataset!$C35</f>
        <v>-37</v>
      </c>
    </row>
    <row r="36" spans="1:10" x14ac:dyDescent="0.25">
      <c r="A36" s="5">
        <v>44220</v>
      </c>
      <c r="B36" s="6" t="s">
        <v>47</v>
      </c>
      <c r="C36" s="6">
        <v>12</v>
      </c>
      <c r="D36" s="6"/>
      <c r="E36" s="6" t="s">
        <v>35</v>
      </c>
      <c r="F36" s="6" t="s">
        <v>16</v>
      </c>
      <c r="G36" s="6" t="s">
        <v>17</v>
      </c>
      <c r="H36" s="6">
        <f>MONTH([1]Dataset!$A36)</f>
        <v>1</v>
      </c>
      <c r="I36" s="7">
        <f>WEEKDAY([1]Dataset!$A36)</f>
        <v>1</v>
      </c>
      <c r="J36" s="8">
        <f>[1]Dataset!$D36-[1]Dataset!$C36</f>
        <v>-12</v>
      </c>
    </row>
    <row r="37" spans="1:10" x14ac:dyDescent="0.25">
      <c r="A37" s="9">
        <v>44221</v>
      </c>
      <c r="B37" s="10" t="s">
        <v>48</v>
      </c>
      <c r="C37" s="10">
        <v>55</v>
      </c>
      <c r="D37" s="10"/>
      <c r="E37" s="10" t="s">
        <v>49</v>
      </c>
      <c r="F37" s="10" t="s">
        <v>50</v>
      </c>
      <c r="G37" s="10" t="s">
        <v>17</v>
      </c>
      <c r="H37" s="10">
        <f>MONTH([1]Dataset!$A37)</f>
        <v>1</v>
      </c>
      <c r="I37" s="11">
        <f>WEEKDAY([1]Dataset!$A37)</f>
        <v>2</v>
      </c>
      <c r="J37" s="12">
        <f>[1]Dataset!$D37-[1]Dataset!$C37</f>
        <v>-55</v>
      </c>
    </row>
    <row r="38" spans="1:10" x14ac:dyDescent="0.25">
      <c r="A38" s="5">
        <v>44221</v>
      </c>
      <c r="B38" s="6" t="s">
        <v>28</v>
      </c>
      <c r="C38" s="6">
        <v>63</v>
      </c>
      <c r="D38" s="6"/>
      <c r="E38" s="6" t="s">
        <v>51</v>
      </c>
      <c r="F38" s="6" t="s">
        <v>23</v>
      </c>
      <c r="G38" s="6" t="s">
        <v>17</v>
      </c>
      <c r="H38" s="6">
        <f>MONTH([1]Dataset!$A38)</f>
        <v>1</v>
      </c>
      <c r="I38" s="7">
        <f>WEEKDAY([1]Dataset!$A38)</f>
        <v>2</v>
      </c>
      <c r="J38" s="8">
        <f>[1]Dataset!$D38-[1]Dataset!$C38</f>
        <v>-63</v>
      </c>
    </row>
    <row r="39" spans="1:10" x14ac:dyDescent="0.25">
      <c r="A39" s="9">
        <v>44221</v>
      </c>
      <c r="B39" s="10" t="s">
        <v>14</v>
      </c>
      <c r="C39" s="10">
        <v>5</v>
      </c>
      <c r="D39" s="10"/>
      <c r="E39" s="10" t="s">
        <v>15</v>
      </c>
      <c r="F39" s="10" t="s">
        <v>16</v>
      </c>
      <c r="G39" s="10" t="s">
        <v>17</v>
      </c>
      <c r="H39" s="10">
        <f>MONTH([1]Dataset!$A39)</f>
        <v>1</v>
      </c>
      <c r="I39" s="11">
        <f>WEEKDAY([1]Dataset!$A39)</f>
        <v>2</v>
      </c>
      <c r="J39" s="12">
        <f>[1]Dataset!$D39-[1]Dataset!$C39</f>
        <v>-5</v>
      </c>
    </row>
    <row r="40" spans="1:10" x14ac:dyDescent="0.25">
      <c r="A40" s="5">
        <v>44222</v>
      </c>
      <c r="B40" s="6" t="s">
        <v>14</v>
      </c>
      <c r="C40" s="6">
        <v>5</v>
      </c>
      <c r="D40" s="6"/>
      <c r="E40" s="6" t="s">
        <v>15</v>
      </c>
      <c r="F40" s="6" t="s">
        <v>16</v>
      </c>
      <c r="G40" s="6" t="s">
        <v>17</v>
      </c>
      <c r="H40" s="6">
        <f>MONTH([1]Dataset!$A40)</f>
        <v>1</v>
      </c>
      <c r="I40" s="7">
        <f>WEEKDAY([1]Dataset!$A40)</f>
        <v>3</v>
      </c>
      <c r="J40" s="8">
        <f>[1]Dataset!$D40-[1]Dataset!$C40</f>
        <v>-5</v>
      </c>
    </row>
    <row r="41" spans="1:10" x14ac:dyDescent="0.25">
      <c r="A41" s="9">
        <v>44223</v>
      </c>
      <c r="B41" s="10" t="s">
        <v>14</v>
      </c>
      <c r="C41" s="10">
        <v>5</v>
      </c>
      <c r="D41" s="10"/>
      <c r="E41" s="10" t="s">
        <v>15</v>
      </c>
      <c r="F41" s="10" t="s">
        <v>16</v>
      </c>
      <c r="G41" s="10" t="s">
        <v>17</v>
      </c>
      <c r="H41" s="10">
        <f>MONTH([1]Dataset!$A41)</f>
        <v>1</v>
      </c>
      <c r="I41" s="11">
        <f>WEEKDAY([1]Dataset!$A41)</f>
        <v>4</v>
      </c>
      <c r="J41" s="12">
        <f>[1]Dataset!$D41-[1]Dataset!$C41</f>
        <v>-5</v>
      </c>
    </row>
    <row r="42" spans="1:10" x14ac:dyDescent="0.25">
      <c r="A42" s="5">
        <v>44224</v>
      </c>
      <c r="B42" s="6" t="s">
        <v>14</v>
      </c>
      <c r="C42" s="6">
        <v>5</v>
      </c>
      <c r="D42" s="6"/>
      <c r="E42" s="6" t="s">
        <v>15</v>
      </c>
      <c r="F42" s="6" t="s">
        <v>16</v>
      </c>
      <c r="G42" s="6" t="s">
        <v>17</v>
      </c>
      <c r="H42" s="6">
        <f>MONTH([1]Dataset!$A42)</f>
        <v>1</v>
      </c>
      <c r="I42" s="7">
        <f>WEEKDAY([1]Dataset!$A42)</f>
        <v>5</v>
      </c>
      <c r="J42" s="8">
        <f>[1]Dataset!$D42-[1]Dataset!$C42</f>
        <v>-5</v>
      </c>
    </row>
    <row r="43" spans="1:10" x14ac:dyDescent="0.25">
      <c r="A43" s="9">
        <v>44225</v>
      </c>
      <c r="B43" s="10" t="s">
        <v>14</v>
      </c>
      <c r="C43" s="10">
        <v>5</v>
      </c>
      <c r="D43" s="10"/>
      <c r="E43" s="10" t="s">
        <v>15</v>
      </c>
      <c r="F43" s="10" t="s">
        <v>16</v>
      </c>
      <c r="G43" s="10" t="s">
        <v>17</v>
      </c>
      <c r="H43" s="10">
        <f>MONTH([1]Dataset!$A43)</f>
        <v>1</v>
      </c>
      <c r="I43" s="11">
        <f>WEEKDAY([1]Dataset!$A43)</f>
        <v>6</v>
      </c>
      <c r="J43" s="12">
        <f>[1]Dataset!$D43-[1]Dataset!$C43</f>
        <v>-5</v>
      </c>
    </row>
    <row r="44" spans="1:10" x14ac:dyDescent="0.25">
      <c r="A44" s="5">
        <v>44225</v>
      </c>
      <c r="B44" s="6" t="s">
        <v>24</v>
      </c>
      <c r="C44" s="6">
        <v>162</v>
      </c>
      <c r="D44" s="6"/>
      <c r="E44" s="6" t="s">
        <v>25</v>
      </c>
      <c r="F44" s="6" t="s">
        <v>20</v>
      </c>
      <c r="G44" s="6" t="s">
        <v>17</v>
      </c>
      <c r="H44" s="6">
        <f>MONTH([1]Dataset!$A44)</f>
        <v>1</v>
      </c>
      <c r="I44" s="7">
        <f>WEEKDAY([1]Dataset!$A44)</f>
        <v>6</v>
      </c>
      <c r="J44" s="8">
        <f>[1]Dataset!$D44-[1]Dataset!$C44</f>
        <v>-162</v>
      </c>
    </row>
    <row r="45" spans="1:10" x14ac:dyDescent="0.25">
      <c r="A45" s="9">
        <v>44226</v>
      </c>
      <c r="B45" s="10" t="s">
        <v>52</v>
      </c>
      <c r="C45" s="10">
        <v>125</v>
      </c>
      <c r="D45" s="10"/>
      <c r="E45" s="10" t="s">
        <v>33</v>
      </c>
      <c r="F45" s="10" t="s">
        <v>31</v>
      </c>
      <c r="G45" s="10" t="s">
        <v>17</v>
      </c>
      <c r="H45" s="10">
        <f>MONTH([1]Dataset!$A45)</f>
        <v>1</v>
      </c>
      <c r="I45" s="11">
        <f>WEEKDAY([1]Dataset!$A45)</f>
        <v>7</v>
      </c>
      <c r="J45" s="12">
        <f>[1]Dataset!$D45-[1]Dataset!$C45</f>
        <v>-125</v>
      </c>
    </row>
    <row r="46" spans="1:10" x14ac:dyDescent="0.25">
      <c r="A46" s="5">
        <v>44226</v>
      </c>
      <c r="B46" s="6" t="s">
        <v>53</v>
      </c>
      <c r="C46" s="6">
        <v>175</v>
      </c>
      <c r="D46" s="6"/>
      <c r="E46" s="6" t="s">
        <v>30</v>
      </c>
      <c r="F46" s="6" t="s">
        <v>31</v>
      </c>
      <c r="G46" s="6" t="s">
        <v>17</v>
      </c>
      <c r="H46" s="6">
        <f>MONTH([1]Dataset!$A46)</f>
        <v>1</v>
      </c>
      <c r="I46" s="7">
        <f>WEEKDAY([1]Dataset!$A46)</f>
        <v>7</v>
      </c>
      <c r="J46" s="8">
        <f>[1]Dataset!$D46-[1]Dataset!$C46</f>
        <v>-175</v>
      </c>
    </row>
    <row r="47" spans="1:10" x14ac:dyDescent="0.25">
      <c r="A47" s="9">
        <v>44227</v>
      </c>
      <c r="B47" s="10" t="s">
        <v>32</v>
      </c>
      <c r="C47" s="10">
        <v>145</v>
      </c>
      <c r="D47" s="10"/>
      <c r="E47" s="10" t="s">
        <v>33</v>
      </c>
      <c r="F47" s="10" t="s">
        <v>31</v>
      </c>
      <c r="G47" s="10" t="s">
        <v>17</v>
      </c>
      <c r="H47" s="10">
        <f>MONTH([1]Dataset!$A47)</f>
        <v>1</v>
      </c>
      <c r="I47" s="11">
        <f>WEEKDAY([1]Dataset!$A47)</f>
        <v>1</v>
      </c>
      <c r="J47" s="12">
        <f>[1]Dataset!$D47-[1]Dataset!$C47</f>
        <v>-145</v>
      </c>
    </row>
    <row r="48" spans="1:10" x14ac:dyDescent="0.25">
      <c r="A48" s="5">
        <v>44227</v>
      </c>
      <c r="B48" s="6" t="s">
        <v>36</v>
      </c>
      <c r="C48" s="6">
        <v>23</v>
      </c>
      <c r="D48" s="6"/>
      <c r="E48" s="6" t="s">
        <v>37</v>
      </c>
      <c r="F48" s="6" t="s">
        <v>23</v>
      </c>
      <c r="G48" s="6" t="s">
        <v>17</v>
      </c>
      <c r="H48" s="6">
        <f>MONTH([1]Dataset!$A48)</f>
        <v>1</v>
      </c>
      <c r="I48" s="7">
        <f>WEEKDAY([1]Dataset!$A48)</f>
        <v>1</v>
      </c>
      <c r="J48" s="8">
        <f>[1]Dataset!$D48-[1]Dataset!$C48</f>
        <v>-23</v>
      </c>
    </row>
    <row r="49" spans="1:10" x14ac:dyDescent="0.25">
      <c r="A49" s="9">
        <v>44228</v>
      </c>
      <c r="B49" s="10" t="s">
        <v>10</v>
      </c>
      <c r="C49" s="10"/>
      <c r="D49" s="10">
        <v>5000</v>
      </c>
      <c r="E49" s="10" t="s">
        <v>11</v>
      </c>
      <c r="F49" s="10" t="s">
        <v>12</v>
      </c>
      <c r="G49" s="10" t="s">
        <v>13</v>
      </c>
      <c r="H49" s="10">
        <f>MONTH([1]Dataset!$A49)</f>
        <v>2</v>
      </c>
      <c r="I49" s="11">
        <f>WEEKDAY([1]Dataset!$A49)</f>
        <v>2</v>
      </c>
      <c r="J49" s="12">
        <f>[1]Dataset!$D49-[1]Dataset!$C49</f>
        <v>5000</v>
      </c>
    </row>
    <row r="50" spans="1:10" x14ac:dyDescent="0.25">
      <c r="A50" s="5">
        <v>44228</v>
      </c>
      <c r="B50" s="6" t="s">
        <v>14</v>
      </c>
      <c r="C50" s="6">
        <v>5</v>
      </c>
      <c r="D50" s="6"/>
      <c r="E50" s="6" t="s">
        <v>15</v>
      </c>
      <c r="F50" s="6" t="s">
        <v>16</v>
      </c>
      <c r="G50" s="6" t="s">
        <v>17</v>
      </c>
      <c r="H50" s="6">
        <f>MONTH([1]Dataset!$A50)</f>
        <v>2</v>
      </c>
      <c r="I50" s="7">
        <f>WEEKDAY([1]Dataset!$A50)</f>
        <v>2</v>
      </c>
      <c r="J50" s="8">
        <f>[1]Dataset!$D50-[1]Dataset!$C50</f>
        <v>-5</v>
      </c>
    </row>
    <row r="51" spans="1:10" x14ac:dyDescent="0.25">
      <c r="A51" s="9">
        <v>44229</v>
      </c>
      <c r="B51" s="10" t="s">
        <v>18</v>
      </c>
      <c r="C51" s="10">
        <v>900</v>
      </c>
      <c r="D51" s="10"/>
      <c r="E51" s="10" t="s">
        <v>19</v>
      </c>
      <c r="F51" s="10" t="s">
        <v>20</v>
      </c>
      <c r="G51" s="10" t="s">
        <v>17</v>
      </c>
      <c r="H51" s="10">
        <f>MONTH([1]Dataset!$A51)</f>
        <v>2</v>
      </c>
      <c r="I51" s="11">
        <f>WEEKDAY([1]Dataset!$A51)</f>
        <v>3</v>
      </c>
      <c r="J51" s="12">
        <f>[1]Dataset!$D51-[1]Dataset!$C51</f>
        <v>-900</v>
      </c>
    </row>
    <row r="52" spans="1:10" x14ac:dyDescent="0.25">
      <c r="A52" s="5">
        <v>44229</v>
      </c>
      <c r="B52" s="6" t="s">
        <v>21</v>
      </c>
      <c r="C52" s="6">
        <v>150</v>
      </c>
      <c r="D52" s="6"/>
      <c r="E52" s="6" t="s">
        <v>22</v>
      </c>
      <c r="F52" s="6" t="s">
        <v>23</v>
      </c>
      <c r="G52" s="6" t="s">
        <v>17</v>
      </c>
      <c r="H52" s="6">
        <f>MONTH([1]Dataset!$A52)</f>
        <v>2</v>
      </c>
      <c r="I52" s="7">
        <f>WEEKDAY([1]Dataset!$A52)</f>
        <v>3</v>
      </c>
      <c r="J52" s="8">
        <f>[1]Dataset!$D52-[1]Dataset!$C52</f>
        <v>-150</v>
      </c>
    </row>
    <row r="53" spans="1:10" x14ac:dyDescent="0.25">
      <c r="A53" s="9">
        <v>44229</v>
      </c>
      <c r="B53" s="10" t="s">
        <v>14</v>
      </c>
      <c r="C53" s="10">
        <v>5</v>
      </c>
      <c r="D53" s="10"/>
      <c r="E53" s="10" t="s">
        <v>15</v>
      </c>
      <c r="F53" s="10" t="s">
        <v>16</v>
      </c>
      <c r="G53" s="10" t="s">
        <v>17</v>
      </c>
      <c r="H53" s="10">
        <f>MONTH([1]Dataset!$A53)</f>
        <v>2</v>
      </c>
      <c r="I53" s="11">
        <f>WEEKDAY([1]Dataset!$A53)</f>
        <v>3</v>
      </c>
      <c r="J53" s="12">
        <f>[1]Dataset!$D53-[1]Dataset!$C53</f>
        <v>-5</v>
      </c>
    </row>
    <row r="54" spans="1:10" x14ac:dyDescent="0.25">
      <c r="A54" s="5">
        <v>44230</v>
      </c>
      <c r="B54" s="6" t="s">
        <v>14</v>
      </c>
      <c r="C54" s="6">
        <v>5</v>
      </c>
      <c r="D54" s="6"/>
      <c r="E54" s="6" t="s">
        <v>15</v>
      </c>
      <c r="F54" s="6" t="s">
        <v>16</v>
      </c>
      <c r="G54" s="6" t="s">
        <v>17</v>
      </c>
      <c r="H54" s="6">
        <f>MONTH([1]Dataset!$A54)</f>
        <v>2</v>
      </c>
      <c r="I54" s="7">
        <f>WEEKDAY([1]Dataset!$A54)</f>
        <v>4</v>
      </c>
      <c r="J54" s="8">
        <f>[1]Dataset!$D54-[1]Dataset!$C54</f>
        <v>-5</v>
      </c>
    </row>
    <row r="55" spans="1:10" x14ac:dyDescent="0.25">
      <c r="A55" s="9">
        <v>44231</v>
      </c>
      <c r="B55" s="10" t="s">
        <v>14</v>
      </c>
      <c r="C55" s="10">
        <v>5</v>
      </c>
      <c r="D55" s="10"/>
      <c r="E55" s="10" t="s">
        <v>15</v>
      </c>
      <c r="F55" s="10" t="s">
        <v>16</v>
      </c>
      <c r="G55" s="10" t="s">
        <v>17</v>
      </c>
      <c r="H55" s="10">
        <f>MONTH([1]Dataset!$A55)</f>
        <v>2</v>
      </c>
      <c r="I55" s="11">
        <f>WEEKDAY([1]Dataset!$A55)</f>
        <v>5</v>
      </c>
      <c r="J55" s="12">
        <f>[1]Dataset!$D55-[1]Dataset!$C55</f>
        <v>-5</v>
      </c>
    </row>
    <row r="56" spans="1:10" x14ac:dyDescent="0.25">
      <c r="A56" s="5">
        <v>44232</v>
      </c>
      <c r="B56" s="6" t="s">
        <v>14</v>
      </c>
      <c r="C56" s="6">
        <v>5</v>
      </c>
      <c r="D56" s="6"/>
      <c r="E56" s="6" t="s">
        <v>15</v>
      </c>
      <c r="F56" s="6" t="s">
        <v>16</v>
      </c>
      <c r="G56" s="6" t="s">
        <v>17</v>
      </c>
      <c r="H56" s="6">
        <f>MONTH([1]Dataset!$A56)</f>
        <v>2</v>
      </c>
      <c r="I56" s="7">
        <f>WEEKDAY([1]Dataset!$A56)</f>
        <v>6</v>
      </c>
      <c r="J56" s="8">
        <f>[1]Dataset!$D56-[1]Dataset!$C56</f>
        <v>-5</v>
      </c>
    </row>
    <row r="57" spans="1:10" x14ac:dyDescent="0.25">
      <c r="A57" s="9">
        <v>44232</v>
      </c>
      <c r="B57" s="10" t="s">
        <v>24</v>
      </c>
      <c r="C57" s="10">
        <v>205</v>
      </c>
      <c r="D57" s="10"/>
      <c r="E57" s="10" t="s">
        <v>25</v>
      </c>
      <c r="F57" s="10" t="s">
        <v>20</v>
      </c>
      <c r="G57" s="10" t="s">
        <v>17</v>
      </c>
      <c r="H57" s="10">
        <f>MONTH([1]Dataset!$A57)</f>
        <v>2</v>
      </c>
      <c r="I57" s="11">
        <f>WEEKDAY([1]Dataset!$A57)</f>
        <v>6</v>
      </c>
      <c r="J57" s="12">
        <f>[1]Dataset!$D57-[1]Dataset!$C57</f>
        <v>-205</v>
      </c>
    </row>
    <row r="58" spans="1:10" x14ac:dyDescent="0.25">
      <c r="A58" s="5">
        <v>44235</v>
      </c>
      <c r="B58" s="6" t="s">
        <v>26</v>
      </c>
      <c r="C58" s="6">
        <v>51.1</v>
      </c>
      <c r="D58" s="6"/>
      <c r="E58" s="6" t="s">
        <v>27</v>
      </c>
      <c r="F58" s="6" t="s">
        <v>20</v>
      </c>
      <c r="G58" s="6" t="s">
        <v>17</v>
      </c>
      <c r="H58" s="6">
        <f>MONTH([1]Dataset!$A58)</f>
        <v>2</v>
      </c>
      <c r="I58" s="7">
        <f>WEEKDAY([1]Dataset!$A58)</f>
        <v>2</v>
      </c>
      <c r="J58" s="8">
        <f>[1]Dataset!$D58-[1]Dataset!$C58</f>
        <v>-51.1</v>
      </c>
    </row>
    <row r="59" spans="1:10" x14ac:dyDescent="0.25">
      <c r="A59" s="9">
        <v>44235</v>
      </c>
      <c r="B59" s="10" t="s">
        <v>14</v>
      </c>
      <c r="C59" s="10">
        <v>5</v>
      </c>
      <c r="D59" s="10"/>
      <c r="E59" s="10" t="s">
        <v>15</v>
      </c>
      <c r="F59" s="10" t="s">
        <v>16</v>
      </c>
      <c r="G59" s="10" t="s">
        <v>17</v>
      </c>
      <c r="H59" s="10">
        <f>MONTH([1]Dataset!$A59)</f>
        <v>2</v>
      </c>
      <c r="I59" s="11">
        <f>WEEKDAY([1]Dataset!$A59)</f>
        <v>2</v>
      </c>
      <c r="J59" s="12">
        <f>[1]Dataset!$D59-[1]Dataset!$C59</f>
        <v>-5</v>
      </c>
    </row>
    <row r="60" spans="1:10" x14ac:dyDescent="0.25">
      <c r="A60" s="5">
        <v>44236</v>
      </c>
      <c r="B60" s="6" t="s">
        <v>14</v>
      </c>
      <c r="C60" s="6">
        <v>5</v>
      </c>
      <c r="D60" s="6"/>
      <c r="E60" s="6" t="s">
        <v>15</v>
      </c>
      <c r="F60" s="6" t="s">
        <v>16</v>
      </c>
      <c r="G60" s="6" t="s">
        <v>17</v>
      </c>
      <c r="H60" s="6">
        <f>MONTH([1]Dataset!$A60)</f>
        <v>2</v>
      </c>
      <c r="I60" s="7">
        <f>WEEKDAY([1]Dataset!$A60)</f>
        <v>3</v>
      </c>
      <c r="J60" s="8">
        <f>[1]Dataset!$D60-[1]Dataset!$C60</f>
        <v>-5</v>
      </c>
    </row>
    <row r="61" spans="1:10" x14ac:dyDescent="0.25">
      <c r="A61" s="9">
        <v>44237</v>
      </c>
      <c r="B61" s="10" t="s">
        <v>28</v>
      </c>
      <c r="C61" s="10">
        <v>78</v>
      </c>
      <c r="D61" s="10"/>
      <c r="E61" s="10" t="s">
        <v>51</v>
      </c>
      <c r="F61" s="10" t="s">
        <v>23</v>
      </c>
      <c r="G61" s="10" t="s">
        <v>17</v>
      </c>
      <c r="H61" s="10">
        <f>MONTH([1]Dataset!$A61)</f>
        <v>2</v>
      </c>
      <c r="I61" s="11">
        <f>WEEKDAY([1]Dataset!$A61)</f>
        <v>4</v>
      </c>
      <c r="J61" s="12">
        <f>[1]Dataset!$D61-[1]Dataset!$C61</f>
        <v>-78</v>
      </c>
    </row>
    <row r="62" spans="1:10" x14ac:dyDescent="0.25">
      <c r="A62" s="5">
        <v>44237</v>
      </c>
      <c r="B62" s="6" t="s">
        <v>14</v>
      </c>
      <c r="C62" s="6">
        <v>5</v>
      </c>
      <c r="D62" s="6"/>
      <c r="E62" s="6" t="s">
        <v>15</v>
      </c>
      <c r="F62" s="6" t="s">
        <v>16</v>
      </c>
      <c r="G62" s="6" t="s">
        <v>17</v>
      </c>
      <c r="H62" s="6">
        <f>MONTH([1]Dataset!$A62)</f>
        <v>2</v>
      </c>
      <c r="I62" s="7">
        <f>WEEKDAY([1]Dataset!$A62)</f>
        <v>4</v>
      </c>
      <c r="J62" s="8">
        <f>[1]Dataset!$D62-[1]Dataset!$C62</f>
        <v>-5</v>
      </c>
    </row>
    <row r="63" spans="1:10" x14ac:dyDescent="0.25">
      <c r="A63" s="9">
        <v>44238</v>
      </c>
      <c r="B63" s="10" t="s">
        <v>14</v>
      </c>
      <c r="C63" s="10">
        <v>5</v>
      </c>
      <c r="D63" s="10"/>
      <c r="E63" s="10" t="s">
        <v>15</v>
      </c>
      <c r="F63" s="10" t="s">
        <v>16</v>
      </c>
      <c r="G63" s="10" t="s">
        <v>17</v>
      </c>
      <c r="H63" s="10">
        <f>MONTH([1]Dataset!$A63)</f>
        <v>2</v>
      </c>
      <c r="I63" s="11">
        <f>WEEKDAY([1]Dataset!$A63)</f>
        <v>5</v>
      </c>
      <c r="J63" s="12">
        <f>[1]Dataset!$D63-[1]Dataset!$C63</f>
        <v>-5</v>
      </c>
    </row>
    <row r="64" spans="1:10" x14ac:dyDescent="0.25">
      <c r="A64" s="5">
        <v>44239</v>
      </c>
      <c r="B64" s="6" t="s">
        <v>24</v>
      </c>
      <c r="C64" s="6">
        <v>135.9</v>
      </c>
      <c r="D64" s="6"/>
      <c r="E64" s="6" t="s">
        <v>25</v>
      </c>
      <c r="F64" s="6" t="s">
        <v>20</v>
      </c>
      <c r="G64" s="6" t="s">
        <v>17</v>
      </c>
      <c r="H64" s="6">
        <f>MONTH([1]Dataset!$A64)</f>
        <v>2</v>
      </c>
      <c r="I64" s="7">
        <f>WEEKDAY([1]Dataset!$A64)</f>
        <v>6</v>
      </c>
      <c r="J64" s="8">
        <f>[1]Dataset!$D64-[1]Dataset!$C64</f>
        <v>-135.9</v>
      </c>
    </row>
    <row r="65" spans="1:10" x14ac:dyDescent="0.25">
      <c r="A65" s="9">
        <v>44239</v>
      </c>
      <c r="B65" s="10" t="s">
        <v>14</v>
      </c>
      <c r="C65" s="10">
        <v>5</v>
      </c>
      <c r="D65" s="10"/>
      <c r="E65" s="10" t="s">
        <v>15</v>
      </c>
      <c r="F65" s="10" t="s">
        <v>16</v>
      </c>
      <c r="G65" s="10" t="s">
        <v>17</v>
      </c>
      <c r="H65" s="10">
        <f>MONTH([1]Dataset!$A65)</f>
        <v>2</v>
      </c>
      <c r="I65" s="11">
        <f>WEEKDAY([1]Dataset!$A65)</f>
        <v>6</v>
      </c>
      <c r="J65" s="12">
        <f>[1]Dataset!$D65-[1]Dataset!$C65</f>
        <v>-5</v>
      </c>
    </row>
    <row r="66" spans="1:10" x14ac:dyDescent="0.25">
      <c r="A66" s="5">
        <v>44240</v>
      </c>
      <c r="B66" s="6" t="s">
        <v>14</v>
      </c>
      <c r="C66" s="6">
        <v>5</v>
      </c>
      <c r="D66" s="6"/>
      <c r="E66" s="6" t="s">
        <v>15</v>
      </c>
      <c r="F66" s="6" t="s">
        <v>16</v>
      </c>
      <c r="G66" s="6" t="s">
        <v>17</v>
      </c>
      <c r="H66" s="6">
        <f>MONTH([1]Dataset!$A66)</f>
        <v>2</v>
      </c>
      <c r="I66" s="7">
        <f>WEEKDAY([1]Dataset!$A66)</f>
        <v>7</v>
      </c>
      <c r="J66" s="8">
        <f>[1]Dataset!$D66-[1]Dataset!$C66</f>
        <v>-5</v>
      </c>
    </row>
    <row r="67" spans="1:10" x14ac:dyDescent="0.25">
      <c r="A67" s="9">
        <v>44240</v>
      </c>
      <c r="B67" s="10" t="s">
        <v>29</v>
      </c>
      <c r="C67" s="10">
        <v>40.9</v>
      </c>
      <c r="D67" s="10"/>
      <c r="E67" s="10" t="s">
        <v>30</v>
      </c>
      <c r="F67" s="10" t="s">
        <v>31</v>
      </c>
      <c r="G67" s="10" t="s">
        <v>17</v>
      </c>
      <c r="H67" s="10">
        <f>MONTH([1]Dataset!$A67)</f>
        <v>2</v>
      </c>
      <c r="I67" s="11">
        <f>WEEKDAY([1]Dataset!$A67)</f>
        <v>7</v>
      </c>
      <c r="J67" s="12">
        <f>[1]Dataset!$D67-[1]Dataset!$C67</f>
        <v>-40.9</v>
      </c>
    </row>
    <row r="68" spans="1:10" x14ac:dyDescent="0.25">
      <c r="A68" s="5">
        <v>44240</v>
      </c>
      <c r="B68" s="6" t="s">
        <v>32</v>
      </c>
      <c r="C68" s="6">
        <v>99</v>
      </c>
      <c r="D68" s="6"/>
      <c r="E68" s="6" t="s">
        <v>33</v>
      </c>
      <c r="F68" s="6" t="s">
        <v>31</v>
      </c>
      <c r="G68" s="6" t="s">
        <v>17</v>
      </c>
      <c r="H68" s="6">
        <f>MONTH([1]Dataset!$A68)</f>
        <v>2</v>
      </c>
      <c r="I68" s="7">
        <f>WEEKDAY([1]Dataset!$A68)</f>
        <v>7</v>
      </c>
      <c r="J68" s="8">
        <f>[1]Dataset!$D68-[1]Dataset!$C68</f>
        <v>-99</v>
      </c>
    </row>
    <row r="69" spans="1:10" x14ac:dyDescent="0.25">
      <c r="A69" s="9">
        <v>44240</v>
      </c>
      <c r="B69" s="10" t="s">
        <v>34</v>
      </c>
      <c r="C69" s="10">
        <v>53</v>
      </c>
      <c r="D69" s="10"/>
      <c r="E69" s="10" t="s">
        <v>35</v>
      </c>
      <c r="F69" s="10" t="s">
        <v>16</v>
      </c>
      <c r="G69" s="10" t="s">
        <v>17</v>
      </c>
      <c r="H69" s="10">
        <f>MONTH([1]Dataset!$A69)</f>
        <v>2</v>
      </c>
      <c r="I69" s="11">
        <f>WEEKDAY([1]Dataset!$A69)</f>
        <v>7</v>
      </c>
      <c r="J69" s="12">
        <f>[1]Dataset!$D69-[1]Dataset!$C69</f>
        <v>-53</v>
      </c>
    </row>
    <row r="70" spans="1:10" x14ac:dyDescent="0.25">
      <c r="A70" s="5">
        <v>44241</v>
      </c>
      <c r="B70" s="6" t="s">
        <v>36</v>
      </c>
      <c r="C70" s="6">
        <v>28.9</v>
      </c>
      <c r="D70" s="6"/>
      <c r="E70" s="6" t="s">
        <v>37</v>
      </c>
      <c r="F70" s="6" t="s">
        <v>23</v>
      </c>
      <c r="G70" s="6" t="s">
        <v>17</v>
      </c>
      <c r="H70" s="6">
        <f>MONTH([1]Dataset!$A70)</f>
        <v>2</v>
      </c>
      <c r="I70" s="7">
        <f>WEEKDAY([1]Dataset!$A70)</f>
        <v>1</v>
      </c>
      <c r="J70" s="8">
        <f>[1]Dataset!$D70-[1]Dataset!$C70</f>
        <v>-28.9</v>
      </c>
    </row>
    <row r="71" spans="1:10" x14ac:dyDescent="0.25">
      <c r="A71" s="9">
        <v>44242</v>
      </c>
      <c r="B71" s="10" t="s">
        <v>38</v>
      </c>
      <c r="C71" s="10"/>
      <c r="D71" s="10">
        <v>800</v>
      </c>
      <c r="E71" s="10" t="s">
        <v>39</v>
      </c>
      <c r="F71" s="10" t="s">
        <v>40</v>
      </c>
      <c r="G71" s="10" t="s">
        <v>13</v>
      </c>
      <c r="H71" s="10">
        <f>MONTH([1]Dataset!$A71)</f>
        <v>2</v>
      </c>
      <c r="I71" s="11">
        <f>WEEKDAY([1]Dataset!$A71)</f>
        <v>2</v>
      </c>
      <c r="J71" s="12">
        <f>[1]Dataset!$D71-[1]Dataset!$C71</f>
        <v>800</v>
      </c>
    </row>
    <row r="72" spans="1:10" x14ac:dyDescent="0.25">
      <c r="A72" s="5">
        <v>44242</v>
      </c>
      <c r="B72" s="6" t="s">
        <v>14</v>
      </c>
      <c r="C72" s="6">
        <v>5</v>
      </c>
      <c r="D72" s="6"/>
      <c r="E72" s="6" t="s">
        <v>15</v>
      </c>
      <c r="F72" s="6" t="s">
        <v>16</v>
      </c>
      <c r="G72" s="6" t="s">
        <v>17</v>
      </c>
      <c r="H72" s="6">
        <f>MONTH([1]Dataset!$A72)</f>
        <v>2</v>
      </c>
      <c r="I72" s="7">
        <f>WEEKDAY([1]Dataset!$A72)</f>
        <v>2</v>
      </c>
      <c r="J72" s="8">
        <f>[1]Dataset!$D72-[1]Dataset!$C72</f>
        <v>-5</v>
      </c>
    </row>
    <row r="73" spans="1:10" x14ac:dyDescent="0.25">
      <c r="A73" s="9">
        <v>44243</v>
      </c>
      <c r="B73" s="10" t="s">
        <v>14</v>
      </c>
      <c r="C73" s="10">
        <v>5</v>
      </c>
      <c r="D73" s="10"/>
      <c r="E73" s="10" t="s">
        <v>15</v>
      </c>
      <c r="F73" s="10" t="s">
        <v>16</v>
      </c>
      <c r="G73" s="10" t="s">
        <v>17</v>
      </c>
      <c r="H73" s="10">
        <f>MONTH([1]Dataset!$A73)</f>
        <v>2</v>
      </c>
      <c r="I73" s="11">
        <f>WEEKDAY([1]Dataset!$A73)</f>
        <v>3</v>
      </c>
      <c r="J73" s="12">
        <f>[1]Dataset!$D73-[1]Dataset!$C73</f>
        <v>-5</v>
      </c>
    </row>
    <row r="74" spans="1:10" x14ac:dyDescent="0.25">
      <c r="A74" s="5">
        <v>44243</v>
      </c>
      <c r="B74" s="6" t="s">
        <v>42</v>
      </c>
      <c r="C74" s="6">
        <v>40</v>
      </c>
      <c r="D74" s="6"/>
      <c r="E74" s="6" t="s">
        <v>42</v>
      </c>
      <c r="F74" s="6" t="s">
        <v>20</v>
      </c>
      <c r="G74" s="6" t="s">
        <v>17</v>
      </c>
      <c r="H74" s="6">
        <f>MONTH([1]Dataset!$A74)</f>
        <v>2</v>
      </c>
      <c r="I74" s="7">
        <f>WEEKDAY([1]Dataset!$A74)</f>
        <v>3</v>
      </c>
      <c r="J74" s="8">
        <f>[1]Dataset!$D74-[1]Dataset!$C74</f>
        <v>-40</v>
      </c>
    </row>
    <row r="75" spans="1:10" x14ac:dyDescent="0.25">
      <c r="A75" s="9">
        <v>44244</v>
      </c>
      <c r="B75" s="10" t="s">
        <v>43</v>
      </c>
      <c r="C75" s="10">
        <v>45.9</v>
      </c>
      <c r="D75" s="10"/>
      <c r="E75" s="10" t="s">
        <v>44</v>
      </c>
      <c r="F75" s="10" t="s">
        <v>31</v>
      </c>
      <c r="G75" s="10" t="s">
        <v>17</v>
      </c>
      <c r="H75" s="10">
        <f>MONTH([1]Dataset!$A75)</f>
        <v>2</v>
      </c>
      <c r="I75" s="11">
        <f>WEEKDAY([1]Dataset!$A75)</f>
        <v>4</v>
      </c>
      <c r="J75" s="12">
        <f>[1]Dataset!$D75-[1]Dataset!$C75</f>
        <v>-45.9</v>
      </c>
    </row>
    <row r="76" spans="1:10" x14ac:dyDescent="0.25">
      <c r="A76" s="5">
        <v>44244</v>
      </c>
      <c r="B76" s="6" t="s">
        <v>45</v>
      </c>
      <c r="C76" s="6">
        <v>35</v>
      </c>
      <c r="D76" s="6"/>
      <c r="E76" s="6" t="s">
        <v>30</v>
      </c>
      <c r="F76" s="6" t="s">
        <v>31</v>
      </c>
      <c r="G76" s="6" t="s">
        <v>17</v>
      </c>
      <c r="H76" s="6">
        <f>MONTH([1]Dataset!$A76)</f>
        <v>2</v>
      </c>
      <c r="I76" s="7">
        <f>WEEKDAY([1]Dataset!$A76)</f>
        <v>4</v>
      </c>
      <c r="J76" s="8">
        <f>[1]Dataset!$D76-[1]Dataset!$C76</f>
        <v>-35</v>
      </c>
    </row>
    <row r="77" spans="1:10" x14ac:dyDescent="0.25">
      <c r="A77" s="9">
        <v>44244</v>
      </c>
      <c r="B77" s="10" t="s">
        <v>14</v>
      </c>
      <c r="C77" s="10">
        <v>5</v>
      </c>
      <c r="D77" s="10"/>
      <c r="E77" s="10" t="s">
        <v>15</v>
      </c>
      <c r="F77" s="10" t="s">
        <v>16</v>
      </c>
      <c r="G77" s="10" t="s">
        <v>17</v>
      </c>
      <c r="H77" s="10">
        <f>MONTH([1]Dataset!$A77)</f>
        <v>2</v>
      </c>
      <c r="I77" s="11">
        <f>WEEKDAY([1]Dataset!$A77)</f>
        <v>4</v>
      </c>
      <c r="J77" s="12">
        <f>[1]Dataset!$D77-[1]Dataset!$C77</f>
        <v>-5</v>
      </c>
    </row>
    <row r="78" spans="1:10" x14ac:dyDescent="0.25">
      <c r="A78" s="5">
        <v>44245</v>
      </c>
      <c r="B78" s="6" t="s">
        <v>14</v>
      </c>
      <c r="C78" s="6">
        <v>5</v>
      </c>
      <c r="D78" s="6"/>
      <c r="E78" s="6" t="s">
        <v>15</v>
      </c>
      <c r="F78" s="6" t="s">
        <v>16</v>
      </c>
      <c r="G78" s="6" t="s">
        <v>17</v>
      </c>
      <c r="H78" s="6">
        <f>MONTH([1]Dataset!$A78)</f>
        <v>2</v>
      </c>
      <c r="I78" s="7">
        <f>WEEKDAY([1]Dataset!$A78)</f>
        <v>5</v>
      </c>
      <c r="J78" s="8">
        <f>[1]Dataset!$D78-[1]Dataset!$C78</f>
        <v>-5</v>
      </c>
    </row>
    <row r="79" spans="1:10" x14ac:dyDescent="0.25">
      <c r="A79" s="9">
        <v>44246</v>
      </c>
      <c r="B79" s="10" t="s">
        <v>14</v>
      </c>
      <c r="C79" s="10">
        <v>5</v>
      </c>
      <c r="D79" s="10"/>
      <c r="E79" s="10" t="s">
        <v>15</v>
      </c>
      <c r="F79" s="10" t="s">
        <v>16</v>
      </c>
      <c r="G79" s="10" t="s">
        <v>17</v>
      </c>
      <c r="H79" s="10">
        <f>MONTH([1]Dataset!$A79)</f>
        <v>2</v>
      </c>
      <c r="I79" s="11">
        <f>WEEKDAY([1]Dataset!$A79)</f>
        <v>6</v>
      </c>
      <c r="J79" s="12">
        <f>[1]Dataset!$D79-[1]Dataset!$C79</f>
        <v>-5</v>
      </c>
    </row>
    <row r="80" spans="1:10" x14ac:dyDescent="0.25">
      <c r="A80" s="5">
        <v>44246</v>
      </c>
      <c r="B80" s="6" t="s">
        <v>24</v>
      </c>
      <c r="C80" s="6">
        <v>171</v>
      </c>
      <c r="D80" s="6"/>
      <c r="E80" s="6" t="s">
        <v>25</v>
      </c>
      <c r="F80" s="6" t="s">
        <v>20</v>
      </c>
      <c r="G80" s="6" t="s">
        <v>17</v>
      </c>
      <c r="H80" s="6">
        <f>MONTH([1]Dataset!$A80)</f>
        <v>2</v>
      </c>
      <c r="I80" s="7">
        <f>WEEKDAY([1]Dataset!$A80)</f>
        <v>6</v>
      </c>
      <c r="J80" s="8">
        <f>[1]Dataset!$D80-[1]Dataset!$C80</f>
        <v>-171</v>
      </c>
    </row>
    <row r="81" spans="1:10" x14ac:dyDescent="0.25">
      <c r="A81" s="9">
        <v>44247</v>
      </c>
      <c r="B81" s="10" t="s">
        <v>46</v>
      </c>
      <c r="C81" s="10">
        <v>37.9</v>
      </c>
      <c r="D81" s="10"/>
      <c r="E81" s="10" t="s">
        <v>35</v>
      </c>
      <c r="F81" s="10" t="s">
        <v>16</v>
      </c>
      <c r="G81" s="10" t="s">
        <v>17</v>
      </c>
      <c r="H81" s="10">
        <f>MONTH([1]Dataset!$A81)</f>
        <v>2</v>
      </c>
      <c r="I81" s="11">
        <f>WEEKDAY([1]Dataset!$A81)</f>
        <v>7</v>
      </c>
      <c r="J81" s="12">
        <f>[1]Dataset!$D81-[1]Dataset!$C81</f>
        <v>-37.9</v>
      </c>
    </row>
    <row r="82" spans="1:10" x14ac:dyDescent="0.25">
      <c r="A82" s="5">
        <v>44248</v>
      </c>
      <c r="B82" s="6" t="s">
        <v>47</v>
      </c>
      <c r="C82" s="6">
        <v>12.9</v>
      </c>
      <c r="D82" s="6"/>
      <c r="E82" s="6" t="s">
        <v>35</v>
      </c>
      <c r="F82" s="6" t="s">
        <v>16</v>
      </c>
      <c r="G82" s="6" t="s">
        <v>17</v>
      </c>
      <c r="H82" s="6">
        <f>MONTH([1]Dataset!$A82)</f>
        <v>2</v>
      </c>
      <c r="I82" s="7">
        <f>WEEKDAY([1]Dataset!$A82)</f>
        <v>1</v>
      </c>
      <c r="J82" s="8">
        <f>[1]Dataset!$D82-[1]Dataset!$C82</f>
        <v>-12.9</v>
      </c>
    </row>
    <row r="83" spans="1:10" x14ac:dyDescent="0.25">
      <c r="A83" s="9">
        <v>44249</v>
      </c>
      <c r="B83" s="10" t="s">
        <v>48</v>
      </c>
      <c r="C83" s="10">
        <v>55</v>
      </c>
      <c r="D83" s="10"/>
      <c r="E83" s="10" t="s">
        <v>49</v>
      </c>
      <c r="F83" s="10" t="s">
        <v>50</v>
      </c>
      <c r="G83" s="10" t="s">
        <v>17</v>
      </c>
      <c r="H83" s="10">
        <f>MONTH([1]Dataset!$A83)</f>
        <v>2</v>
      </c>
      <c r="I83" s="11">
        <f>WEEKDAY([1]Dataset!$A83)</f>
        <v>2</v>
      </c>
      <c r="J83" s="12">
        <f>[1]Dataset!$D83-[1]Dataset!$C83</f>
        <v>-55</v>
      </c>
    </row>
    <row r="84" spans="1:10" x14ac:dyDescent="0.25">
      <c r="A84" s="5">
        <v>44249</v>
      </c>
      <c r="B84" s="6" t="s">
        <v>28</v>
      </c>
      <c r="C84" s="6">
        <v>64.099999999999994</v>
      </c>
      <c r="D84" s="6"/>
      <c r="E84" s="6" t="s">
        <v>51</v>
      </c>
      <c r="F84" s="6" t="s">
        <v>23</v>
      </c>
      <c r="G84" s="6" t="s">
        <v>17</v>
      </c>
      <c r="H84" s="6">
        <f>MONTH([1]Dataset!$A84)</f>
        <v>2</v>
      </c>
      <c r="I84" s="7">
        <f>WEEKDAY([1]Dataset!$A84)</f>
        <v>2</v>
      </c>
      <c r="J84" s="8">
        <f>[1]Dataset!$D84-[1]Dataset!$C84</f>
        <v>-64.099999999999994</v>
      </c>
    </row>
    <row r="85" spans="1:10" x14ac:dyDescent="0.25">
      <c r="A85" s="9">
        <v>44249</v>
      </c>
      <c r="B85" s="10" t="s">
        <v>14</v>
      </c>
      <c r="C85" s="10">
        <v>5</v>
      </c>
      <c r="D85" s="10"/>
      <c r="E85" s="10" t="s">
        <v>15</v>
      </c>
      <c r="F85" s="10" t="s">
        <v>16</v>
      </c>
      <c r="G85" s="10" t="s">
        <v>17</v>
      </c>
      <c r="H85" s="10">
        <f>MONTH([1]Dataset!$A85)</f>
        <v>2</v>
      </c>
      <c r="I85" s="11">
        <f>WEEKDAY([1]Dataset!$A85)</f>
        <v>2</v>
      </c>
      <c r="J85" s="12">
        <f>[1]Dataset!$D85-[1]Dataset!$C85</f>
        <v>-5</v>
      </c>
    </row>
    <row r="86" spans="1:10" x14ac:dyDescent="0.25">
      <c r="A86" s="5">
        <v>44250</v>
      </c>
      <c r="B86" s="6" t="s">
        <v>14</v>
      </c>
      <c r="C86" s="6">
        <v>5</v>
      </c>
      <c r="D86" s="6"/>
      <c r="E86" s="6" t="s">
        <v>15</v>
      </c>
      <c r="F86" s="6" t="s">
        <v>16</v>
      </c>
      <c r="G86" s="6" t="s">
        <v>17</v>
      </c>
      <c r="H86" s="6">
        <f>MONTH([1]Dataset!$A86)</f>
        <v>2</v>
      </c>
      <c r="I86" s="7">
        <f>WEEKDAY([1]Dataset!$A86)</f>
        <v>3</v>
      </c>
      <c r="J86" s="8">
        <f>[1]Dataset!$D86-[1]Dataset!$C86</f>
        <v>-5</v>
      </c>
    </row>
    <row r="87" spans="1:10" x14ac:dyDescent="0.25">
      <c r="A87" s="9">
        <v>44251</v>
      </c>
      <c r="B87" s="10" t="s">
        <v>14</v>
      </c>
      <c r="C87" s="10">
        <v>5</v>
      </c>
      <c r="D87" s="10"/>
      <c r="E87" s="10" t="s">
        <v>15</v>
      </c>
      <c r="F87" s="10" t="s">
        <v>16</v>
      </c>
      <c r="G87" s="10" t="s">
        <v>17</v>
      </c>
      <c r="H87" s="10">
        <f>MONTH([1]Dataset!$A87)</f>
        <v>2</v>
      </c>
      <c r="I87" s="11">
        <f>WEEKDAY([1]Dataset!$A87)</f>
        <v>4</v>
      </c>
      <c r="J87" s="12">
        <f>[1]Dataset!$D87-[1]Dataset!$C87</f>
        <v>-5</v>
      </c>
    </row>
    <row r="88" spans="1:10" x14ac:dyDescent="0.25">
      <c r="A88" s="5">
        <v>44252</v>
      </c>
      <c r="B88" s="6" t="s">
        <v>14</v>
      </c>
      <c r="C88" s="6">
        <v>5</v>
      </c>
      <c r="D88" s="6"/>
      <c r="E88" s="6" t="s">
        <v>15</v>
      </c>
      <c r="F88" s="6" t="s">
        <v>16</v>
      </c>
      <c r="G88" s="6" t="s">
        <v>17</v>
      </c>
      <c r="H88" s="6">
        <f>MONTH([1]Dataset!$A88)</f>
        <v>2</v>
      </c>
      <c r="I88" s="7">
        <f>WEEKDAY([1]Dataset!$A88)</f>
        <v>5</v>
      </c>
      <c r="J88" s="8">
        <f>[1]Dataset!$D88-[1]Dataset!$C88</f>
        <v>-5</v>
      </c>
    </row>
    <row r="89" spans="1:10" x14ac:dyDescent="0.25">
      <c r="A89" s="9">
        <v>44253</v>
      </c>
      <c r="B89" s="10" t="s">
        <v>14</v>
      </c>
      <c r="C89" s="10">
        <v>5</v>
      </c>
      <c r="D89" s="10"/>
      <c r="E89" s="10" t="s">
        <v>15</v>
      </c>
      <c r="F89" s="10" t="s">
        <v>16</v>
      </c>
      <c r="G89" s="10" t="s">
        <v>17</v>
      </c>
      <c r="H89" s="10">
        <f>MONTH([1]Dataset!$A89)</f>
        <v>2</v>
      </c>
      <c r="I89" s="11">
        <f>WEEKDAY([1]Dataset!$A89)</f>
        <v>6</v>
      </c>
      <c r="J89" s="12">
        <f>[1]Dataset!$D89-[1]Dataset!$C89</f>
        <v>-5</v>
      </c>
    </row>
    <row r="90" spans="1:10" x14ac:dyDescent="0.25">
      <c r="A90" s="5">
        <v>44253</v>
      </c>
      <c r="B90" s="6" t="s">
        <v>24</v>
      </c>
      <c r="C90" s="6">
        <v>162.9</v>
      </c>
      <c r="D90" s="6"/>
      <c r="E90" s="6" t="s">
        <v>25</v>
      </c>
      <c r="F90" s="6" t="s">
        <v>20</v>
      </c>
      <c r="G90" s="6" t="s">
        <v>17</v>
      </c>
      <c r="H90" s="6">
        <f>MONTH([1]Dataset!$A90)</f>
        <v>2</v>
      </c>
      <c r="I90" s="7">
        <f>WEEKDAY([1]Dataset!$A90)</f>
        <v>6</v>
      </c>
      <c r="J90" s="8">
        <f>[1]Dataset!$D90-[1]Dataset!$C90</f>
        <v>-162.9</v>
      </c>
    </row>
    <row r="91" spans="1:10" x14ac:dyDescent="0.25">
      <c r="A91" s="9">
        <v>44254</v>
      </c>
      <c r="B91" s="10" t="s">
        <v>52</v>
      </c>
      <c r="C91" s="10">
        <v>125.9</v>
      </c>
      <c r="D91" s="10"/>
      <c r="E91" s="10" t="s">
        <v>33</v>
      </c>
      <c r="F91" s="10" t="s">
        <v>31</v>
      </c>
      <c r="G91" s="10" t="s">
        <v>17</v>
      </c>
      <c r="H91" s="10">
        <f>MONTH([1]Dataset!$A91)</f>
        <v>2</v>
      </c>
      <c r="I91" s="11">
        <f>WEEKDAY([1]Dataset!$A91)</f>
        <v>7</v>
      </c>
      <c r="J91" s="12">
        <f>[1]Dataset!$D91-[1]Dataset!$C91</f>
        <v>-125.9</v>
      </c>
    </row>
    <row r="92" spans="1:10" x14ac:dyDescent="0.25">
      <c r="A92" s="5">
        <v>44254</v>
      </c>
      <c r="B92" s="6" t="s">
        <v>54</v>
      </c>
      <c r="C92" s="6">
        <v>137</v>
      </c>
      <c r="D92" s="6"/>
      <c r="E92" s="6" t="s">
        <v>33</v>
      </c>
      <c r="F92" s="6" t="s">
        <v>31</v>
      </c>
      <c r="G92" s="6" t="s">
        <v>17</v>
      </c>
      <c r="H92" s="6">
        <f>MONTH([1]Dataset!$A92)</f>
        <v>2</v>
      </c>
      <c r="I92" s="7">
        <f>WEEKDAY([1]Dataset!$A92)</f>
        <v>7</v>
      </c>
      <c r="J92" s="8">
        <f>[1]Dataset!$D92-[1]Dataset!$C92</f>
        <v>-137</v>
      </c>
    </row>
    <row r="93" spans="1:10" x14ac:dyDescent="0.25">
      <c r="A93" s="9">
        <v>44255</v>
      </c>
      <c r="B93" s="10" t="s">
        <v>32</v>
      </c>
      <c r="C93" s="10">
        <v>146.1</v>
      </c>
      <c r="D93" s="10"/>
      <c r="E93" s="10" t="s">
        <v>33</v>
      </c>
      <c r="F93" s="10" t="s">
        <v>31</v>
      </c>
      <c r="G93" s="10" t="s">
        <v>17</v>
      </c>
      <c r="H93" s="10">
        <f>MONTH([1]Dataset!$A93)</f>
        <v>2</v>
      </c>
      <c r="I93" s="11">
        <f>WEEKDAY([1]Dataset!$A93)</f>
        <v>1</v>
      </c>
      <c r="J93" s="12">
        <f>[1]Dataset!$D93-[1]Dataset!$C93</f>
        <v>-146.1</v>
      </c>
    </row>
    <row r="94" spans="1:10" x14ac:dyDescent="0.25">
      <c r="A94" s="5">
        <v>44255</v>
      </c>
      <c r="B94" s="6" t="s">
        <v>36</v>
      </c>
      <c r="C94" s="6">
        <v>24.1</v>
      </c>
      <c r="D94" s="6"/>
      <c r="E94" s="6" t="s">
        <v>37</v>
      </c>
      <c r="F94" s="6" t="s">
        <v>23</v>
      </c>
      <c r="G94" s="6" t="s">
        <v>17</v>
      </c>
      <c r="H94" s="6">
        <f>MONTH([1]Dataset!$A94)</f>
        <v>2</v>
      </c>
      <c r="I94" s="7">
        <f>WEEKDAY([1]Dataset!$A94)</f>
        <v>1</v>
      </c>
      <c r="J94" s="8">
        <f>[1]Dataset!$D94-[1]Dataset!$C94</f>
        <v>-24.1</v>
      </c>
    </row>
    <row r="95" spans="1:10" x14ac:dyDescent="0.25">
      <c r="A95" s="9">
        <v>44256</v>
      </c>
      <c r="B95" s="10" t="s">
        <v>10</v>
      </c>
      <c r="C95" s="10"/>
      <c r="D95" s="10">
        <v>5000</v>
      </c>
      <c r="E95" s="10" t="s">
        <v>11</v>
      </c>
      <c r="F95" s="10" t="s">
        <v>12</v>
      </c>
      <c r="G95" s="10" t="s">
        <v>13</v>
      </c>
      <c r="H95" s="10">
        <f>MONTH([1]Dataset!$A95)</f>
        <v>3</v>
      </c>
      <c r="I95" s="11">
        <f>WEEKDAY([1]Dataset!$A95)</f>
        <v>2</v>
      </c>
      <c r="J95" s="12">
        <f>[1]Dataset!$D95-[1]Dataset!$C95</f>
        <v>5000</v>
      </c>
    </row>
    <row r="96" spans="1:10" x14ac:dyDescent="0.25">
      <c r="A96" s="5">
        <v>44256</v>
      </c>
      <c r="B96" s="6" t="s">
        <v>14</v>
      </c>
      <c r="C96" s="6">
        <v>5</v>
      </c>
      <c r="D96" s="6"/>
      <c r="E96" s="6" t="s">
        <v>15</v>
      </c>
      <c r="F96" s="6" t="s">
        <v>16</v>
      </c>
      <c r="G96" s="6" t="s">
        <v>17</v>
      </c>
      <c r="H96" s="6">
        <f>MONTH([1]Dataset!$A96)</f>
        <v>3</v>
      </c>
      <c r="I96" s="7">
        <f>WEEKDAY([1]Dataset!$A96)</f>
        <v>2</v>
      </c>
      <c r="J96" s="8">
        <f>[1]Dataset!$D96-[1]Dataset!$C96</f>
        <v>-5</v>
      </c>
    </row>
    <row r="97" spans="1:10" x14ac:dyDescent="0.25">
      <c r="A97" s="9">
        <v>44257</v>
      </c>
      <c r="B97" s="10" t="s">
        <v>18</v>
      </c>
      <c r="C97" s="10">
        <v>900</v>
      </c>
      <c r="D97" s="10"/>
      <c r="E97" s="10" t="s">
        <v>19</v>
      </c>
      <c r="F97" s="10" t="s">
        <v>20</v>
      </c>
      <c r="G97" s="10" t="s">
        <v>17</v>
      </c>
      <c r="H97" s="10">
        <f>MONTH([1]Dataset!$A97)</f>
        <v>3</v>
      </c>
      <c r="I97" s="11">
        <f>WEEKDAY([1]Dataset!$A97)</f>
        <v>3</v>
      </c>
      <c r="J97" s="12">
        <f>[1]Dataset!$D97-[1]Dataset!$C97</f>
        <v>-900</v>
      </c>
    </row>
    <row r="98" spans="1:10" x14ac:dyDescent="0.25">
      <c r="A98" s="5">
        <v>44257</v>
      </c>
      <c r="B98" s="6" t="s">
        <v>21</v>
      </c>
      <c r="C98" s="6">
        <v>150</v>
      </c>
      <c r="D98" s="6"/>
      <c r="E98" s="6" t="s">
        <v>22</v>
      </c>
      <c r="F98" s="6" t="s">
        <v>23</v>
      </c>
      <c r="G98" s="6" t="s">
        <v>17</v>
      </c>
      <c r="H98" s="6">
        <f>MONTH([1]Dataset!$A98)</f>
        <v>3</v>
      </c>
      <c r="I98" s="7">
        <f>WEEKDAY([1]Dataset!$A98)</f>
        <v>3</v>
      </c>
      <c r="J98" s="8">
        <f>[1]Dataset!$D98-[1]Dataset!$C98</f>
        <v>-150</v>
      </c>
    </row>
    <row r="99" spans="1:10" x14ac:dyDescent="0.25">
      <c r="A99" s="9">
        <v>44257</v>
      </c>
      <c r="B99" s="10" t="s">
        <v>14</v>
      </c>
      <c r="C99" s="10">
        <v>5</v>
      </c>
      <c r="D99" s="10"/>
      <c r="E99" s="10" t="s">
        <v>15</v>
      </c>
      <c r="F99" s="10" t="s">
        <v>16</v>
      </c>
      <c r="G99" s="10" t="s">
        <v>17</v>
      </c>
      <c r="H99" s="10">
        <f>MONTH([1]Dataset!$A99)</f>
        <v>3</v>
      </c>
      <c r="I99" s="11">
        <f>WEEKDAY([1]Dataset!$A99)</f>
        <v>3</v>
      </c>
      <c r="J99" s="12">
        <f>[1]Dataset!$D99-[1]Dataset!$C99</f>
        <v>-5</v>
      </c>
    </row>
    <row r="100" spans="1:10" x14ac:dyDescent="0.25">
      <c r="A100" s="5">
        <v>44258</v>
      </c>
      <c r="B100" s="6" t="s">
        <v>14</v>
      </c>
      <c r="C100" s="6">
        <v>5</v>
      </c>
      <c r="D100" s="6"/>
      <c r="E100" s="6" t="s">
        <v>15</v>
      </c>
      <c r="F100" s="6" t="s">
        <v>16</v>
      </c>
      <c r="G100" s="6" t="s">
        <v>17</v>
      </c>
      <c r="H100" s="6">
        <f>MONTH([1]Dataset!$A100)</f>
        <v>3</v>
      </c>
      <c r="I100" s="7">
        <f>WEEKDAY([1]Dataset!$A100)</f>
        <v>4</v>
      </c>
      <c r="J100" s="8">
        <f>[1]Dataset!$D100-[1]Dataset!$C100</f>
        <v>-5</v>
      </c>
    </row>
    <row r="101" spans="1:10" x14ac:dyDescent="0.25">
      <c r="A101" s="9">
        <v>44259</v>
      </c>
      <c r="B101" s="10" t="s">
        <v>14</v>
      </c>
      <c r="C101" s="10">
        <v>5</v>
      </c>
      <c r="D101" s="10"/>
      <c r="E101" s="10" t="s">
        <v>15</v>
      </c>
      <c r="F101" s="10" t="s">
        <v>16</v>
      </c>
      <c r="G101" s="10" t="s">
        <v>17</v>
      </c>
      <c r="H101" s="10">
        <f>MONTH([1]Dataset!$A101)</f>
        <v>3</v>
      </c>
      <c r="I101" s="11">
        <f>WEEKDAY([1]Dataset!$A101)</f>
        <v>5</v>
      </c>
      <c r="J101" s="12">
        <f>[1]Dataset!$D101-[1]Dataset!$C101</f>
        <v>-5</v>
      </c>
    </row>
    <row r="102" spans="1:10" x14ac:dyDescent="0.25">
      <c r="A102" s="5">
        <v>44260</v>
      </c>
      <c r="B102" s="6" t="s">
        <v>14</v>
      </c>
      <c r="C102" s="6">
        <v>5</v>
      </c>
      <c r="D102" s="6"/>
      <c r="E102" s="6" t="s">
        <v>15</v>
      </c>
      <c r="F102" s="6" t="s">
        <v>16</v>
      </c>
      <c r="G102" s="6" t="s">
        <v>17</v>
      </c>
      <c r="H102" s="6">
        <f>MONTH([1]Dataset!$A102)</f>
        <v>3</v>
      </c>
      <c r="I102" s="7">
        <f>WEEKDAY([1]Dataset!$A102)</f>
        <v>6</v>
      </c>
      <c r="J102" s="8">
        <f>[1]Dataset!$D102-[1]Dataset!$C102</f>
        <v>-5</v>
      </c>
    </row>
    <row r="103" spans="1:10" x14ac:dyDescent="0.25">
      <c r="A103" s="9">
        <v>44260</v>
      </c>
      <c r="B103" s="10" t="s">
        <v>24</v>
      </c>
      <c r="C103" s="10">
        <v>149</v>
      </c>
      <c r="D103" s="10"/>
      <c r="E103" s="10" t="s">
        <v>25</v>
      </c>
      <c r="F103" s="10" t="s">
        <v>20</v>
      </c>
      <c r="G103" s="10" t="s">
        <v>17</v>
      </c>
      <c r="H103" s="10">
        <f>MONTH([1]Dataset!$A103)</f>
        <v>3</v>
      </c>
      <c r="I103" s="11">
        <f>WEEKDAY([1]Dataset!$A103)</f>
        <v>6</v>
      </c>
      <c r="J103" s="12">
        <f>[1]Dataset!$D103-[1]Dataset!$C103</f>
        <v>-149</v>
      </c>
    </row>
    <row r="104" spans="1:10" x14ac:dyDescent="0.25">
      <c r="A104" s="5">
        <v>44263</v>
      </c>
      <c r="B104" s="6" t="s">
        <v>26</v>
      </c>
      <c r="C104" s="6">
        <v>52.1</v>
      </c>
      <c r="D104" s="6"/>
      <c r="E104" s="6" t="s">
        <v>27</v>
      </c>
      <c r="F104" s="6" t="s">
        <v>20</v>
      </c>
      <c r="G104" s="6" t="s">
        <v>17</v>
      </c>
      <c r="H104" s="6">
        <f>MONTH([1]Dataset!$A104)</f>
        <v>3</v>
      </c>
      <c r="I104" s="7">
        <f>WEEKDAY([1]Dataset!$A104)</f>
        <v>2</v>
      </c>
      <c r="J104" s="8">
        <f>[1]Dataset!$D104-[1]Dataset!$C104</f>
        <v>-52.1</v>
      </c>
    </row>
    <row r="105" spans="1:10" x14ac:dyDescent="0.25">
      <c r="A105" s="9">
        <v>44263</v>
      </c>
      <c r="B105" s="10" t="s">
        <v>14</v>
      </c>
      <c r="C105" s="10">
        <v>5</v>
      </c>
      <c r="D105" s="10"/>
      <c r="E105" s="10" t="s">
        <v>15</v>
      </c>
      <c r="F105" s="10" t="s">
        <v>16</v>
      </c>
      <c r="G105" s="10" t="s">
        <v>17</v>
      </c>
      <c r="H105" s="10">
        <f>MONTH([1]Dataset!$A105)</f>
        <v>3</v>
      </c>
      <c r="I105" s="11">
        <f>WEEKDAY([1]Dataset!$A105)</f>
        <v>2</v>
      </c>
      <c r="J105" s="12">
        <f>[1]Dataset!$D105-[1]Dataset!$C105</f>
        <v>-5</v>
      </c>
    </row>
    <row r="106" spans="1:10" x14ac:dyDescent="0.25">
      <c r="A106" s="5">
        <v>44264</v>
      </c>
      <c r="B106" s="6" t="s">
        <v>14</v>
      </c>
      <c r="C106" s="6">
        <v>5</v>
      </c>
      <c r="D106" s="6"/>
      <c r="E106" s="6" t="s">
        <v>15</v>
      </c>
      <c r="F106" s="6" t="s">
        <v>16</v>
      </c>
      <c r="G106" s="6" t="s">
        <v>17</v>
      </c>
      <c r="H106" s="6">
        <f>MONTH([1]Dataset!$A106)</f>
        <v>3</v>
      </c>
      <c r="I106" s="7">
        <f>WEEKDAY([1]Dataset!$A106)</f>
        <v>3</v>
      </c>
      <c r="J106" s="8">
        <f>[1]Dataset!$D106-[1]Dataset!$C106</f>
        <v>-5</v>
      </c>
    </row>
    <row r="107" spans="1:10" x14ac:dyDescent="0.25">
      <c r="A107" s="9">
        <v>44265</v>
      </c>
      <c r="B107" s="10" t="s">
        <v>28</v>
      </c>
      <c r="C107" s="10">
        <v>78.900000000000006</v>
      </c>
      <c r="D107" s="10"/>
      <c r="E107" s="10" t="s">
        <v>51</v>
      </c>
      <c r="F107" s="10" t="s">
        <v>23</v>
      </c>
      <c r="G107" s="10" t="s">
        <v>17</v>
      </c>
      <c r="H107" s="10">
        <f>MONTH([1]Dataset!$A107)</f>
        <v>3</v>
      </c>
      <c r="I107" s="11">
        <f>WEEKDAY([1]Dataset!$A107)</f>
        <v>4</v>
      </c>
      <c r="J107" s="12">
        <f>[1]Dataset!$D107-[1]Dataset!$C107</f>
        <v>-78.900000000000006</v>
      </c>
    </row>
    <row r="108" spans="1:10" x14ac:dyDescent="0.25">
      <c r="A108" s="5">
        <v>44265</v>
      </c>
      <c r="B108" s="6" t="s">
        <v>14</v>
      </c>
      <c r="C108" s="6">
        <v>5</v>
      </c>
      <c r="D108" s="6"/>
      <c r="E108" s="6" t="s">
        <v>15</v>
      </c>
      <c r="F108" s="6" t="s">
        <v>16</v>
      </c>
      <c r="G108" s="6" t="s">
        <v>17</v>
      </c>
      <c r="H108" s="6">
        <f>MONTH([1]Dataset!$A108)</f>
        <v>3</v>
      </c>
      <c r="I108" s="7">
        <f>WEEKDAY([1]Dataset!$A108)</f>
        <v>4</v>
      </c>
      <c r="J108" s="8">
        <f>[1]Dataset!$D108-[1]Dataset!$C108</f>
        <v>-5</v>
      </c>
    </row>
    <row r="109" spans="1:10" x14ac:dyDescent="0.25">
      <c r="A109" s="9">
        <v>44266</v>
      </c>
      <c r="B109" s="10" t="s">
        <v>14</v>
      </c>
      <c r="C109" s="10">
        <v>5</v>
      </c>
      <c r="D109" s="10"/>
      <c r="E109" s="10" t="s">
        <v>15</v>
      </c>
      <c r="F109" s="10" t="s">
        <v>16</v>
      </c>
      <c r="G109" s="10" t="s">
        <v>17</v>
      </c>
      <c r="H109" s="10">
        <f>MONTH([1]Dataset!$A109)</f>
        <v>3</v>
      </c>
      <c r="I109" s="11">
        <f>WEEKDAY([1]Dataset!$A109)</f>
        <v>5</v>
      </c>
      <c r="J109" s="12">
        <f>[1]Dataset!$D109-[1]Dataset!$C109</f>
        <v>-5</v>
      </c>
    </row>
    <row r="110" spans="1:10" x14ac:dyDescent="0.25">
      <c r="A110" s="5">
        <v>44267</v>
      </c>
      <c r="B110" s="6" t="s">
        <v>24</v>
      </c>
      <c r="C110" s="6">
        <v>137</v>
      </c>
      <c r="D110" s="6"/>
      <c r="E110" s="6" t="s">
        <v>25</v>
      </c>
      <c r="F110" s="6" t="s">
        <v>20</v>
      </c>
      <c r="G110" s="6" t="s">
        <v>17</v>
      </c>
      <c r="H110" s="6">
        <f>MONTH([1]Dataset!$A110)</f>
        <v>3</v>
      </c>
      <c r="I110" s="7">
        <f>WEEKDAY([1]Dataset!$A110)</f>
        <v>6</v>
      </c>
      <c r="J110" s="8">
        <f>[1]Dataset!$D110-[1]Dataset!$C110</f>
        <v>-137</v>
      </c>
    </row>
    <row r="111" spans="1:10" x14ac:dyDescent="0.25">
      <c r="A111" s="9">
        <v>44267</v>
      </c>
      <c r="B111" s="10" t="s">
        <v>14</v>
      </c>
      <c r="C111" s="10">
        <v>5</v>
      </c>
      <c r="D111" s="10"/>
      <c r="E111" s="10" t="s">
        <v>15</v>
      </c>
      <c r="F111" s="10" t="s">
        <v>16</v>
      </c>
      <c r="G111" s="10" t="s">
        <v>17</v>
      </c>
      <c r="H111" s="10">
        <f>MONTH([1]Dataset!$A111)</f>
        <v>3</v>
      </c>
      <c r="I111" s="11">
        <f>WEEKDAY([1]Dataset!$A111)</f>
        <v>6</v>
      </c>
      <c r="J111" s="12">
        <f>[1]Dataset!$D111-[1]Dataset!$C111</f>
        <v>-5</v>
      </c>
    </row>
    <row r="112" spans="1:10" x14ac:dyDescent="0.25">
      <c r="A112" s="5">
        <v>44268</v>
      </c>
      <c r="B112" s="6" t="s">
        <v>14</v>
      </c>
      <c r="C112" s="6">
        <v>5</v>
      </c>
      <c r="D112" s="6"/>
      <c r="E112" s="6" t="s">
        <v>15</v>
      </c>
      <c r="F112" s="6" t="s">
        <v>16</v>
      </c>
      <c r="G112" s="6" t="s">
        <v>17</v>
      </c>
      <c r="H112" s="6">
        <f>MONTH([1]Dataset!$A112)</f>
        <v>3</v>
      </c>
      <c r="I112" s="7">
        <f>WEEKDAY([1]Dataset!$A112)</f>
        <v>7</v>
      </c>
      <c r="J112" s="8">
        <f>[1]Dataset!$D112-[1]Dataset!$C112</f>
        <v>-5</v>
      </c>
    </row>
    <row r="113" spans="1:10" x14ac:dyDescent="0.25">
      <c r="A113" s="9">
        <v>44268</v>
      </c>
      <c r="B113" s="10" t="s">
        <v>29</v>
      </c>
      <c r="C113" s="10">
        <v>41.8</v>
      </c>
      <c r="D113" s="10"/>
      <c r="E113" s="10" t="s">
        <v>30</v>
      </c>
      <c r="F113" s="10" t="s">
        <v>31</v>
      </c>
      <c r="G113" s="10" t="s">
        <v>17</v>
      </c>
      <c r="H113" s="10">
        <f>MONTH([1]Dataset!$A113)</f>
        <v>3</v>
      </c>
      <c r="I113" s="11">
        <f>WEEKDAY([1]Dataset!$A113)</f>
        <v>7</v>
      </c>
      <c r="J113" s="12">
        <f>[1]Dataset!$D113-[1]Dataset!$C113</f>
        <v>-41.8</v>
      </c>
    </row>
    <row r="114" spans="1:10" x14ac:dyDescent="0.25">
      <c r="A114" s="5">
        <v>44268</v>
      </c>
      <c r="B114" s="6" t="s">
        <v>32</v>
      </c>
      <c r="C114" s="6">
        <v>99.9</v>
      </c>
      <c r="D114" s="6"/>
      <c r="E114" s="6" t="s">
        <v>33</v>
      </c>
      <c r="F114" s="6" t="s">
        <v>31</v>
      </c>
      <c r="G114" s="6" t="s">
        <v>17</v>
      </c>
      <c r="H114" s="6">
        <f>MONTH([1]Dataset!$A114)</f>
        <v>3</v>
      </c>
      <c r="I114" s="7">
        <f>WEEKDAY([1]Dataset!$A114)</f>
        <v>7</v>
      </c>
      <c r="J114" s="8">
        <f>[1]Dataset!$D114-[1]Dataset!$C114</f>
        <v>-99.9</v>
      </c>
    </row>
    <row r="115" spans="1:10" x14ac:dyDescent="0.25">
      <c r="A115" s="9">
        <v>44268</v>
      </c>
      <c r="B115" s="10" t="s">
        <v>34</v>
      </c>
      <c r="C115" s="10">
        <v>54</v>
      </c>
      <c r="D115" s="10"/>
      <c r="E115" s="10" t="s">
        <v>35</v>
      </c>
      <c r="F115" s="10" t="s">
        <v>16</v>
      </c>
      <c r="G115" s="10" t="s">
        <v>17</v>
      </c>
      <c r="H115" s="10">
        <f>MONTH([1]Dataset!$A115)</f>
        <v>3</v>
      </c>
      <c r="I115" s="11">
        <f>WEEKDAY([1]Dataset!$A115)</f>
        <v>7</v>
      </c>
      <c r="J115" s="12">
        <f>[1]Dataset!$D115-[1]Dataset!$C115</f>
        <v>-54</v>
      </c>
    </row>
    <row r="116" spans="1:10" x14ac:dyDescent="0.25">
      <c r="A116" s="5">
        <v>44269</v>
      </c>
      <c r="B116" s="6" t="s">
        <v>36</v>
      </c>
      <c r="C116" s="6">
        <v>30</v>
      </c>
      <c r="D116" s="6"/>
      <c r="E116" s="6" t="s">
        <v>37</v>
      </c>
      <c r="F116" s="6" t="s">
        <v>23</v>
      </c>
      <c r="G116" s="6" t="s">
        <v>17</v>
      </c>
      <c r="H116" s="6">
        <f>MONTH([1]Dataset!$A116)</f>
        <v>3</v>
      </c>
      <c r="I116" s="7">
        <f>WEEKDAY([1]Dataset!$A116)</f>
        <v>1</v>
      </c>
      <c r="J116" s="8">
        <f>[1]Dataset!$D116-[1]Dataset!$C116</f>
        <v>-30</v>
      </c>
    </row>
    <row r="117" spans="1:10" x14ac:dyDescent="0.25">
      <c r="A117" s="9">
        <v>44270</v>
      </c>
      <c r="B117" s="10" t="s">
        <v>38</v>
      </c>
      <c r="C117" s="10"/>
      <c r="D117" s="10">
        <v>1000</v>
      </c>
      <c r="E117" s="10" t="s">
        <v>39</v>
      </c>
      <c r="F117" s="10" t="s">
        <v>40</v>
      </c>
      <c r="G117" s="10" t="s">
        <v>13</v>
      </c>
      <c r="H117" s="10">
        <f>MONTH([1]Dataset!$A117)</f>
        <v>3</v>
      </c>
      <c r="I117" s="11">
        <f>WEEKDAY([1]Dataset!$A117)</f>
        <v>2</v>
      </c>
      <c r="J117" s="12">
        <f>[1]Dataset!$D117-[1]Dataset!$C117</f>
        <v>1000</v>
      </c>
    </row>
    <row r="118" spans="1:10" x14ac:dyDescent="0.25">
      <c r="A118" s="5">
        <v>44270</v>
      </c>
      <c r="B118" s="6" t="s">
        <v>14</v>
      </c>
      <c r="C118" s="6">
        <v>5</v>
      </c>
      <c r="D118" s="6"/>
      <c r="E118" s="6" t="s">
        <v>15</v>
      </c>
      <c r="F118" s="6" t="s">
        <v>16</v>
      </c>
      <c r="G118" s="6" t="s">
        <v>17</v>
      </c>
      <c r="H118" s="6">
        <f>MONTH([1]Dataset!$A118)</f>
        <v>3</v>
      </c>
      <c r="I118" s="7">
        <f>WEEKDAY([1]Dataset!$A118)</f>
        <v>2</v>
      </c>
      <c r="J118" s="8">
        <f>[1]Dataset!$D118-[1]Dataset!$C118</f>
        <v>-5</v>
      </c>
    </row>
    <row r="119" spans="1:10" x14ac:dyDescent="0.25">
      <c r="A119" s="9">
        <v>44271</v>
      </c>
      <c r="B119" s="10" t="s">
        <v>14</v>
      </c>
      <c r="C119" s="10">
        <v>5</v>
      </c>
      <c r="D119" s="10"/>
      <c r="E119" s="10" t="s">
        <v>15</v>
      </c>
      <c r="F119" s="10" t="s">
        <v>16</v>
      </c>
      <c r="G119" s="10" t="s">
        <v>17</v>
      </c>
      <c r="H119" s="10">
        <f>MONTH([1]Dataset!$A119)</f>
        <v>3</v>
      </c>
      <c r="I119" s="11">
        <f>WEEKDAY([1]Dataset!$A119)</f>
        <v>3</v>
      </c>
      <c r="J119" s="12">
        <f>[1]Dataset!$D119-[1]Dataset!$C119</f>
        <v>-5</v>
      </c>
    </row>
    <row r="120" spans="1:10" x14ac:dyDescent="0.25">
      <c r="A120" s="5">
        <v>44271</v>
      </c>
      <c r="B120" s="6" t="s">
        <v>55</v>
      </c>
      <c r="C120" s="6">
        <v>75</v>
      </c>
      <c r="D120" s="6"/>
      <c r="E120" s="6" t="s">
        <v>56</v>
      </c>
      <c r="F120" s="6" t="s">
        <v>57</v>
      </c>
      <c r="G120" s="6" t="s">
        <v>17</v>
      </c>
      <c r="H120" s="6">
        <f>MONTH([1]Dataset!$A120)</f>
        <v>3</v>
      </c>
      <c r="I120" s="7">
        <f>WEEKDAY([1]Dataset!$A120)</f>
        <v>3</v>
      </c>
      <c r="J120" s="8">
        <f>[1]Dataset!$D120-[1]Dataset!$C120</f>
        <v>-75</v>
      </c>
    </row>
    <row r="121" spans="1:10" x14ac:dyDescent="0.25">
      <c r="A121" s="9">
        <v>44271</v>
      </c>
      <c r="B121" s="10" t="s">
        <v>42</v>
      </c>
      <c r="C121" s="10">
        <v>40</v>
      </c>
      <c r="D121" s="10"/>
      <c r="E121" s="10" t="s">
        <v>42</v>
      </c>
      <c r="F121" s="10" t="s">
        <v>20</v>
      </c>
      <c r="G121" s="10" t="s">
        <v>17</v>
      </c>
      <c r="H121" s="10">
        <f>MONTH([1]Dataset!$A121)</f>
        <v>3</v>
      </c>
      <c r="I121" s="11">
        <f>WEEKDAY([1]Dataset!$A121)</f>
        <v>3</v>
      </c>
      <c r="J121" s="12">
        <f>[1]Dataset!$D121-[1]Dataset!$C121</f>
        <v>-40</v>
      </c>
    </row>
    <row r="122" spans="1:10" x14ac:dyDescent="0.25">
      <c r="A122" s="5">
        <v>44272</v>
      </c>
      <c r="B122" s="6" t="s">
        <v>43</v>
      </c>
      <c r="C122" s="6">
        <v>46.8</v>
      </c>
      <c r="D122" s="6"/>
      <c r="E122" s="6" t="s">
        <v>44</v>
      </c>
      <c r="F122" s="6" t="s">
        <v>31</v>
      </c>
      <c r="G122" s="6" t="s">
        <v>17</v>
      </c>
      <c r="H122" s="6">
        <f>MONTH([1]Dataset!$A122)</f>
        <v>3</v>
      </c>
      <c r="I122" s="7">
        <f>WEEKDAY([1]Dataset!$A122)</f>
        <v>4</v>
      </c>
      <c r="J122" s="8">
        <f>[1]Dataset!$D122-[1]Dataset!$C122</f>
        <v>-46.8</v>
      </c>
    </row>
    <row r="123" spans="1:10" x14ac:dyDescent="0.25">
      <c r="A123" s="9">
        <v>44272</v>
      </c>
      <c r="B123" s="10" t="s">
        <v>45</v>
      </c>
      <c r="C123" s="10">
        <v>35</v>
      </c>
      <c r="D123" s="10"/>
      <c r="E123" s="10" t="s">
        <v>30</v>
      </c>
      <c r="F123" s="10" t="s">
        <v>31</v>
      </c>
      <c r="G123" s="10" t="s">
        <v>17</v>
      </c>
      <c r="H123" s="10">
        <f>MONTH([1]Dataset!$A123)</f>
        <v>3</v>
      </c>
      <c r="I123" s="11">
        <f>WEEKDAY([1]Dataset!$A123)</f>
        <v>4</v>
      </c>
      <c r="J123" s="12">
        <f>[1]Dataset!$D123-[1]Dataset!$C123</f>
        <v>-35</v>
      </c>
    </row>
    <row r="124" spans="1:10" x14ac:dyDescent="0.25">
      <c r="A124" s="5">
        <v>44272</v>
      </c>
      <c r="B124" s="6" t="s">
        <v>14</v>
      </c>
      <c r="C124" s="6">
        <v>5</v>
      </c>
      <c r="D124" s="6"/>
      <c r="E124" s="6" t="s">
        <v>15</v>
      </c>
      <c r="F124" s="6" t="s">
        <v>16</v>
      </c>
      <c r="G124" s="6" t="s">
        <v>17</v>
      </c>
      <c r="H124" s="6">
        <f>MONTH([1]Dataset!$A124)</f>
        <v>3</v>
      </c>
      <c r="I124" s="7">
        <f>WEEKDAY([1]Dataset!$A124)</f>
        <v>4</v>
      </c>
      <c r="J124" s="8">
        <f>[1]Dataset!$D124-[1]Dataset!$C124</f>
        <v>-5</v>
      </c>
    </row>
    <row r="125" spans="1:10" x14ac:dyDescent="0.25">
      <c r="A125" s="9">
        <v>44273</v>
      </c>
      <c r="B125" s="10" t="s">
        <v>14</v>
      </c>
      <c r="C125" s="10">
        <v>5</v>
      </c>
      <c r="D125" s="10"/>
      <c r="E125" s="10" t="s">
        <v>15</v>
      </c>
      <c r="F125" s="10" t="s">
        <v>16</v>
      </c>
      <c r="G125" s="10" t="s">
        <v>17</v>
      </c>
      <c r="H125" s="10">
        <f>MONTH([1]Dataset!$A125)</f>
        <v>3</v>
      </c>
      <c r="I125" s="11">
        <f>WEEKDAY([1]Dataset!$A125)</f>
        <v>5</v>
      </c>
      <c r="J125" s="12">
        <f>[1]Dataset!$D125-[1]Dataset!$C125</f>
        <v>-5</v>
      </c>
    </row>
    <row r="126" spans="1:10" x14ac:dyDescent="0.25">
      <c r="A126" s="5">
        <v>44274</v>
      </c>
      <c r="B126" s="6" t="s">
        <v>14</v>
      </c>
      <c r="C126" s="6">
        <v>5</v>
      </c>
      <c r="D126" s="6"/>
      <c r="E126" s="6" t="s">
        <v>15</v>
      </c>
      <c r="F126" s="6" t="s">
        <v>16</v>
      </c>
      <c r="G126" s="6" t="s">
        <v>17</v>
      </c>
      <c r="H126" s="6">
        <f>MONTH([1]Dataset!$A126)</f>
        <v>3</v>
      </c>
      <c r="I126" s="7">
        <f>WEEKDAY([1]Dataset!$A126)</f>
        <v>6</v>
      </c>
      <c r="J126" s="8">
        <f>[1]Dataset!$D126-[1]Dataset!$C126</f>
        <v>-5</v>
      </c>
    </row>
    <row r="127" spans="1:10" x14ac:dyDescent="0.25">
      <c r="A127" s="9">
        <v>44274</v>
      </c>
      <c r="B127" s="10" t="s">
        <v>24</v>
      </c>
      <c r="C127" s="10">
        <v>171.9</v>
      </c>
      <c r="D127" s="10"/>
      <c r="E127" s="10" t="s">
        <v>25</v>
      </c>
      <c r="F127" s="10" t="s">
        <v>20</v>
      </c>
      <c r="G127" s="10" t="s">
        <v>17</v>
      </c>
      <c r="H127" s="10">
        <f>MONTH([1]Dataset!$A127)</f>
        <v>3</v>
      </c>
      <c r="I127" s="11">
        <f>WEEKDAY([1]Dataset!$A127)</f>
        <v>6</v>
      </c>
      <c r="J127" s="12">
        <f>[1]Dataset!$D127-[1]Dataset!$C127</f>
        <v>-171.9</v>
      </c>
    </row>
    <row r="128" spans="1:10" x14ac:dyDescent="0.25">
      <c r="A128" s="5">
        <v>44275</v>
      </c>
      <c r="B128" s="6" t="s">
        <v>46</v>
      </c>
      <c r="C128" s="6">
        <v>39</v>
      </c>
      <c r="D128" s="6"/>
      <c r="E128" s="6" t="s">
        <v>35</v>
      </c>
      <c r="F128" s="6" t="s">
        <v>16</v>
      </c>
      <c r="G128" s="6" t="s">
        <v>17</v>
      </c>
      <c r="H128" s="6">
        <f>MONTH([1]Dataset!$A128)</f>
        <v>3</v>
      </c>
      <c r="I128" s="7">
        <f>WEEKDAY([1]Dataset!$A128)</f>
        <v>7</v>
      </c>
      <c r="J128" s="8">
        <f>[1]Dataset!$D128-[1]Dataset!$C128</f>
        <v>-39</v>
      </c>
    </row>
    <row r="129" spans="1:10" x14ac:dyDescent="0.25">
      <c r="A129" s="9">
        <v>44276</v>
      </c>
      <c r="B129" s="10" t="s">
        <v>47</v>
      </c>
      <c r="C129" s="10">
        <v>14</v>
      </c>
      <c r="D129" s="10"/>
      <c r="E129" s="10" t="s">
        <v>35</v>
      </c>
      <c r="F129" s="10" t="s">
        <v>16</v>
      </c>
      <c r="G129" s="10" t="s">
        <v>17</v>
      </c>
      <c r="H129" s="10">
        <f>MONTH([1]Dataset!$A129)</f>
        <v>3</v>
      </c>
      <c r="I129" s="11">
        <f>WEEKDAY([1]Dataset!$A129)</f>
        <v>1</v>
      </c>
      <c r="J129" s="12">
        <f>[1]Dataset!$D129-[1]Dataset!$C129</f>
        <v>-14</v>
      </c>
    </row>
    <row r="130" spans="1:10" x14ac:dyDescent="0.25">
      <c r="A130" s="5">
        <v>44277</v>
      </c>
      <c r="B130" s="6" t="s">
        <v>48</v>
      </c>
      <c r="C130" s="6">
        <v>55</v>
      </c>
      <c r="D130" s="6"/>
      <c r="E130" s="6" t="s">
        <v>49</v>
      </c>
      <c r="F130" s="6" t="s">
        <v>50</v>
      </c>
      <c r="G130" s="6" t="s">
        <v>17</v>
      </c>
      <c r="H130" s="6">
        <f>MONTH([1]Dataset!$A130)</f>
        <v>3</v>
      </c>
      <c r="I130" s="7">
        <f>WEEKDAY([1]Dataset!$A130)</f>
        <v>2</v>
      </c>
      <c r="J130" s="8">
        <f>[1]Dataset!$D130-[1]Dataset!$C130</f>
        <v>-55</v>
      </c>
    </row>
    <row r="131" spans="1:10" x14ac:dyDescent="0.25">
      <c r="A131" s="9">
        <v>44277</v>
      </c>
      <c r="B131" s="10" t="s">
        <v>28</v>
      </c>
      <c r="C131" s="10">
        <v>65</v>
      </c>
      <c r="D131" s="10"/>
      <c r="E131" s="10" t="s">
        <v>51</v>
      </c>
      <c r="F131" s="10" t="s">
        <v>23</v>
      </c>
      <c r="G131" s="10" t="s">
        <v>17</v>
      </c>
      <c r="H131" s="10">
        <f>MONTH([1]Dataset!$A131)</f>
        <v>3</v>
      </c>
      <c r="I131" s="11">
        <f>WEEKDAY([1]Dataset!$A131)</f>
        <v>2</v>
      </c>
      <c r="J131" s="12">
        <f>[1]Dataset!$D131-[1]Dataset!$C131</f>
        <v>-65</v>
      </c>
    </row>
    <row r="132" spans="1:10" x14ac:dyDescent="0.25">
      <c r="A132" s="5">
        <v>44277</v>
      </c>
      <c r="B132" s="6" t="s">
        <v>14</v>
      </c>
      <c r="C132" s="6">
        <v>5</v>
      </c>
      <c r="D132" s="6"/>
      <c r="E132" s="6" t="s">
        <v>15</v>
      </c>
      <c r="F132" s="6" t="s">
        <v>16</v>
      </c>
      <c r="G132" s="6" t="s">
        <v>17</v>
      </c>
      <c r="H132" s="6">
        <f>MONTH([1]Dataset!$A132)</f>
        <v>3</v>
      </c>
      <c r="I132" s="7">
        <f>WEEKDAY([1]Dataset!$A132)</f>
        <v>2</v>
      </c>
      <c r="J132" s="8">
        <f>[1]Dataset!$D132-[1]Dataset!$C132</f>
        <v>-5</v>
      </c>
    </row>
    <row r="133" spans="1:10" x14ac:dyDescent="0.25">
      <c r="A133" s="9">
        <v>44278</v>
      </c>
      <c r="B133" s="10" t="s">
        <v>14</v>
      </c>
      <c r="C133" s="10">
        <v>5</v>
      </c>
      <c r="D133" s="10"/>
      <c r="E133" s="10" t="s">
        <v>15</v>
      </c>
      <c r="F133" s="10" t="s">
        <v>16</v>
      </c>
      <c r="G133" s="10" t="s">
        <v>17</v>
      </c>
      <c r="H133" s="10">
        <f>MONTH([1]Dataset!$A133)</f>
        <v>3</v>
      </c>
      <c r="I133" s="11">
        <f>WEEKDAY([1]Dataset!$A133)</f>
        <v>3</v>
      </c>
      <c r="J133" s="12">
        <f>[1]Dataset!$D133-[1]Dataset!$C133</f>
        <v>-5</v>
      </c>
    </row>
    <row r="134" spans="1:10" x14ac:dyDescent="0.25">
      <c r="A134" s="5">
        <v>44279</v>
      </c>
      <c r="B134" s="6" t="s">
        <v>14</v>
      </c>
      <c r="C134" s="6">
        <v>5</v>
      </c>
      <c r="D134" s="6"/>
      <c r="E134" s="6" t="s">
        <v>15</v>
      </c>
      <c r="F134" s="6" t="s">
        <v>16</v>
      </c>
      <c r="G134" s="6" t="s">
        <v>17</v>
      </c>
      <c r="H134" s="6">
        <f>MONTH([1]Dataset!$A134)</f>
        <v>3</v>
      </c>
      <c r="I134" s="7">
        <f>WEEKDAY([1]Dataset!$A134)</f>
        <v>4</v>
      </c>
      <c r="J134" s="8">
        <f>[1]Dataset!$D134-[1]Dataset!$C134</f>
        <v>-5</v>
      </c>
    </row>
    <row r="135" spans="1:10" x14ac:dyDescent="0.25">
      <c r="A135" s="9">
        <v>44280</v>
      </c>
      <c r="B135" s="10" t="s">
        <v>14</v>
      </c>
      <c r="C135" s="10">
        <v>5</v>
      </c>
      <c r="D135" s="10"/>
      <c r="E135" s="10" t="s">
        <v>15</v>
      </c>
      <c r="F135" s="10" t="s">
        <v>16</v>
      </c>
      <c r="G135" s="10" t="s">
        <v>17</v>
      </c>
      <c r="H135" s="10">
        <f>MONTH([1]Dataset!$A135)</f>
        <v>3</v>
      </c>
      <c r="I135" s="11">
        <f>WEEKDAY([1]Dataset!$A135)</f>
        <v>5</v>
      </c>
      <c r="J135" s="12">
        <f>[1]Dataset!$D135-[1]Dataset!$C135</f>
        <v>-5</v>
      </c>
    </row>
    <row r="136" spans="1:10" x14ac:dyDescent="0.25">
      <c r="A136" s="5">
        <v>44281</v>
      </c>
      <c r="B136" s="6" t="s">
        <v>14</v>
      </c>
      <c r="C136" s="6">
        <v>5</v>
      </c>
      <c r="D136" s="6"/>
      <c r="E136" s="6" t="s">
        <v>15</v>
      </c>
      <c r="F136" s="6" t="s">
        <v>16</v>
      </c>
      <c r="G136" s="6" t="s">
        <v>17</v>
      </c>
      <c r="H136" s="6">
        <f>MONTH([1]Dataset!$A136)</f>
        <v>3</v>
      </c>
      <c r="I136" s="7">
        <f>WEEKDAY([1]Dataset!$A136)</f>
        <v>6</v>
      </c>
      <c r="J136" s="8">
        <f>[1]Dataset!$D136-[1]Dataset!$C136</f>
        <v>-5</v>
      </c>
    </row>
    <row r="137" spans="1:10" x14ac:dyDescent="0.25">
      <c r="A137" s="9">
        <v>44281</v>
      </c>
      <c r="B137" s="10" t="s">
        <v>24</v>
      </c>
      <c r="C137" s="10">
        <v>209</v>
      </c>
      <c r="D137" s="10"/>
      <c r="E137" s="10" t="s">
        <v>25</v>
      </c>
      <c r="F137" s="10" t="s">
        <v>20</v>
      </c>
      <c r="G137" s="10" t="s">
        <v>17</v>
      </c>
      <c r="H137" s="10">
        <f>MONTH([1]Dataset!$A137)</f>
        <v>3</v>
      </c>
      <c r="I137" s="11">
        <f>WEEKDAY([1]Dataset!$A137)</f>
        <v>6</v>
      </c>
      <c r="J137" s="12">
        <f>[1]Dataset!$D137-[1]Dataset!$C137</f>
        <v>-209</v>
      </c>
    </row>
    <row r="138" spans="1:10" x14ac:dyDescent="0.25">
      <c r="A138" s="5">
        <v>44282</v>
      </c>
      <c r="B138" s="6" t="s">
        <v>52</v>
      </c>
      <c r="C138" s="6">
        <v>127</v>
      </c>
      <c r="D138" s="6"/>
      <c r="E138" s="6" t="s">
        <v>33</v>
      </c>
      <c r="F138" s="6" t="s">
        <v>31</v>
      </c>
      <c r="G138" s="6" t="s">
        <v>17</v>
      </c>
      <c r="H138" s="6">
        <f>MONTH([1]Dataset!$A138)</f>
        <v>3</v>
      </c>
      <c r="I138" s="7">
        <f>WEEKDAY([1]Dataset!$A138)</f>
        <v>7</v>
      </c>
      <c r="J138" s="8">
        <f>[1]Dataset!$D138-[1]Dataset!$C138</f>
        <v>-127</v>
      </c>
    </row>
    <row r="139" spans="1:10" x14ac:dyDescent="0.25">
      <c r="A139" s="9">
        <v>44282</v>
      </c>
      <c r="B139" s="10" t="s">
        <v>58</v>
      </c>
      <c r="C139" s="10">
        <v>177.2</v>
      </c>
      <c r="D139" s="10"/>
      <c r="E139" s="10" t="s">
        <v>33</v>
      </c>
      <c r="F139" s="10" t="s">
        <v>31</v>
      </c>
      <c r="G139" s="10" t="s">
        <v>17</v>
      </c>
      <c r="H139" s="10">
        <f>MONTH([1]Dataset!$A139)</f>
        <v>3</v>
      </c>
      <c r="I139" s="11">
        <f>WEEKDAY([1]Dataset!$A139)</f>
        <v>7</v>
      </c>
      <c r="J139" s="12">
        <f>[1]Dataset!$D139-[1]Dataset!$C139</f>
        <v>-177.2</v>
      </c>
    </row>
    <row r="140" spans="1:10" x14ac:dyDescent="0.25">
      <c r="A140" s="5">
        <v>44283</v>
      </c>
      <c r="B140" s="6" t="s">
        <v>32</v>
      </c>
      <c r="C140" s="6">
        <v>147.1</v>
      </c>
      <c r="D140" s="6"/>
      <c r="E140" s="6" t="s">
        <v>33</v>
      </c>
      <c r="F140" s="6" t="s">
        <v>31</v>
      </c>
      <c r="G140" s="6" t="s">
        <v>17</v>
      </c>
      <c r="H140" s="6">
        <f>MONTH([1]Dataset!$A140)</f>
        <v>3</v>
      </c>
      <c r="I140" s="7">
        <f>WEEKDAY([1]Dataset!$A140)</f>
        <v>1</v>
      </c>
      <c r="J140" s="8">
        <f>[1]Dataset!$D140-[1]Dataset!$C140</f>
        <v>-147.1</v>
      </c>
    </row>
    <row r="141" spans="1:10" x14ac:dyDescent="0.25">
      <c r="A141" s="9">
        <v>44283</v>
      </c>
      <c r="B141" s="10" t="s">
        <v>36</v>
      </c>
      <c r="C141" s="10">
        <v>25</v>
      </c>
      <c r="D141" s="10"/>
      <c r="E141" s="10" t="s">
        <v>37</v>
      </c>
      <c r="F141" s="10" t="s">
        <v>23</v>
      </c>
      <c r="G141" s="10" t="s">
        <v>17</v>
      </c>
      <c r="H141" s="10">
        <f>MONTH([1]Dataset!$A141)</f>
        <v>3</v>
      </c>
      <c r="I141" s="11">
        <f>WEEKDAY([1]Dataset!$A141)</f>
        <v>1</v>
      </c>
      <c r="J141" s="12">
        <f>[1]Dataset!$D141-[1]Dataset!$C141</f>
        <v>-25</v>
      </c>
    </row>
    <row r="142" spans="1:10" x14ac:dyDescent="0.25">
      <c r="A142" s="5">
        <v>44284</v>
      </c>
      <c r="B142" s="6" t="s">
        <v>59</v>
      </c>
      <c r="C142" s="6">
        <v>15</v>
      </c>
      <c r="D142" s="6"/>
      <c r="E142" s="6" t="s">
        <v>35</v>
      </c>
      <c r="F142" s="6" t="s">
        <v>16</v>
      </c>
      <c r="G142" s="6" t="s">
        <v>17</v>
      </c>
      <c r="H142" s="6">
        <f>MONTH([1]Dataset!$A142)</f>
        <v>3</v>
      </c>
      <c r="I142" s="7">
        <f>WEEKDAY([1]Dataset!$A142)</f>
        <v>2</v>
      </c>
      <c r="J142" s="8">
        <f>[1]Dataset!$D142-[1]Dataset!$C142</f>
        <v>-15</v>
      </c>
    </row>
    <row r="143" spans="1:10" x14ac:dyDescent="0.25">
      <c r="A143" s="9">
        <v>44285</v>
      </c>
      <c r="B143" s="10" t="s">
        <v>14</v>
      </c>
      <c r="C143" s="10">
        <v>5</v>
      </c>
      <c r="D143" s="10"/>
      <c r="E143" s="10" t="s">
        <v>15</v>
      </c>
      <c r="F143" s="10" t="s">
        <v>16</v>
      </c>
      <c r="G143" s="10" t="s">
        <v>17</v>
      </c>
      <c r="H143" s="10">
        <f>MONTH([1]Dataset!$A143)</f>
        <v>3</v>
      </c>
      <c r="I143" s="11">
        <f>WEEKDAY([1]Dataset!$A143)</f>
        <v>3</v>
      </c>
      <c r="J143" s="12">
        <f>[1]Dataset!$D143-[1]Dataset!$C143</f>
        <v>-5</v>
      </c>
    </row>
    <row r="144" spans="1:10" x14ac:dyDescent="0.25">
      <c r="A144" s="5">
        <v>44286</v>
      </c>
      <c r="B144" s="6" t="s">
        <v>14</v>
      </c>
      <c r="C144" s="6">
        <v>5</v>
      </c>
      <c r="D144" s="6"/>
      <c r="E144" s="6" t="s">
        <v>15</v>
      </c>
      <c r="F144" s="6" t="s">
        <v>16</v>
      </c>
      <c r="G144" s="6" t="s">
        <v>17</v>
      </c>
      <c r="H144" s="6">
        <f>MONTH([1]Dataset!$A144)</f>
        <v>3</v>
      </c>
      <c r="I144" s="7">
        <f>WEEKDAY([1]Dataset!$A144)</f>
        <v>4</v>
      </c>
      <c r="J144" s="8">
        <f>[1]Dataset!$D144-[1]Dataset!$C144</f>
        <v>-5</v>
      </c>
    </row>
    <row r="145" spans="1:10" x14ac:dyDescent="0.25">
      <c r="A145" s="9">
        <v>44287</v>
      </c>
      <c r="B145" s="10" t="s">
        <v>10</v>
      </c>
      <c r="C145" s="10"/>
      <c r="D145" s="10">
        <v>5000</v>
      </c>
      <c r="E145" s="10" t="s">
        <v>11</v>
      </c>
      <c r="F145" s="10" t="s">
        <v>12</v>
      </c>
      <c r="G145" s="10" t="s">
        <v>13</v>
      </c>
      <c r="H145" s="10">
        <f>MONTH([1]Dataset!$A145)</f>
        <v>4</v>
      </c>
      <c r="I145" s="11">
        <f>WEEKDAY([1]Dataset!$A145)</f>
        <v>5</v>
      </c>
      <c r="J145" s="12">
        <f>[1]Dataset!$D145-[1]Dataset!$C145</f>
        <v>5000</v>
      </c>
    </row>
    <row r="146" spans="1:10" x14ac:dyDescent="0.25">
      <c r="A146" s="5">
        <v>44287</v>
      </c>
      <c r="B146" s="6" t="s">
        <v>14</v>
      </c>
      <c r="C146" s="6">
        <v>5</v>
      </c>
      <c r="D146" s="6"/>
      <c r="E146" s="6" t="s">
        <v>15</v>
      </c>
      <c r="F146" s="6" t="s">
        <v>16</v>
      </c>
      <c r="G146" s="6" t="s">
        <v>17</v>
      </c>
      <c r="H146" s="6">
        <f>MONTH([1]Dataset!$A146)</f>
        <v>4</v>
      </c>
      <c r="I146" s="7">
        <f>WEEKDAY([1]Dataset!$A146)</f>
        <v>5</v>
      </c>
      <c r="J146" s="8">
        <f>[1]Dataset!$D146-[1]Dataset!$C146</f>
        <v>-5</v>
      </c>
    </row>
    <row r="147" spans="1:10" x14ac:dyDescent="0.25">
      <c r="A147" s="9">
        <v>44288</v>
      </c>
      <c r="B147" s="10" t="s">
        <v>18</v>
      </c>
      <c r="C147" s="10">
        <v>900</v>
      </c>
      <c r="D147" s="10"/>
      <c r="E147" s="10" t="s">
        <v>19</v>
      </c>
      <c r="F147" s="10" t="s">
        <v>20</v>
      </c>
      <c r="G147" s="10" t="s">
        <v>17</v>
      </c>
      <c r="H147" s="10">
        <f>MONTH([1]Dataset!$A147)</f>
        <v>4</v>
      </c>
      <c r="I147" s="11">
        <f>WEEKDAY([1]Dataset!$A147)</f>
        <v>6</v>
      </c>
      <c r="J147" s="12">
        <f>[1]Dataset!$D147-[1]Dataset!$C147</f>
        <v>-900</v>
      </c>
    </row>
    <row r="148" spans="1:10" x14ac:dyDescent="0.25">
      <c r="A148" s="5">
        <v>44288</v>
      </c>
      <c r="B148" s="6" t="s">
        <v>21</v>
      </c>
      <c r="C148" s="6">
        <v>150</v>
      </c>
      <c r="D148" s="6"/>
      <c r="E148" s="6" t="s">
        <v>22</v>
      </c>
      <c r="F148" s="6" t="s">
        <v>23</v>
      </c>
      <c r="G148" s="6" t="s">
        <v>17</v>
      </c>
      <c r="H148" s="6">
        <f>MONTH([1]Dataset!$A148)</f>
        <v>4</v>
      </c>
      <c r="I148" s="7">
        <f>WEEKDAY([1]Dataset!$A148)</f>
        <v>6</v>
      </c>
      <c r="J148" s="8">
        <f>[1]Dataset!$D148-[1]Dataset!$C148</f>
        <v>-150</v>
      </c>
    </row>
    <row r="149" spans="1:10" x14ac:dyDescent="0.25">
      <c r="A149" s="9">
        <v>44288</v>
      </c>
      <c r="B149" s="10" t="s">
        <v>14</v>
      </c>
      <c r="C149" s="10">
        <v>5</v>
      </c>
      <c r="D149" s="10"/>
      <c r="E149" s="10" t="s">
        <v>15</v>
      </c>
      <c r="F149" s="10" t="s">
        <v>16</v>
      </c>
      <c r="G149" s="10" t="s">
        <v>17</v>
      </c>
      <c r="H149" s="10">
        <f>MONTH([1]Dataset!$A149)</f>
        <v>4</v>
      </c>
      <c r="I149" s="11">
        <f>WEEKDAY([1]Dataset!$A149)</f>
        <v>6</v>
      </c>
      <c r="J149" s="12">
        <f>[1]Dataset!$D149-[1]Dataset!$C149</f>
        <v>-5</v>
      </c>
    </row>
    <row r="150" spans="1:10" x14ac:dyDescent="0.25">
      <c r="A150" s="5">
        <v>44289</v>
      </c>
      <c r="B150" s="6" t="s">
        <v>14</v>
      </c>
      <c r="C150" s="6">
        <v>5</v>
      </c>
      <c r="D150" s="6"/>
      <c r="E150" s="6" t="s">
        <v>15</v>
      </c>
      <c r="F150" s="6" t="s">
        <v>16</v>
      </c>
      <c r="G150" s="6" t="s">
        <v>17</v>
      </c>
      <c r="H150" s="6">
        <f>MONTH([1]Dataset!$A150)</f>
        <v>4</v>
      </c>
      <c r="I150" s="7">
        <f>WEEKDAY([1]Dataset!$A150)</f>
        <v>7</v>
      </c>
      <c r="J150" s="8">
        <f>[1]Dataset!$D150-[1]Dataset!$C150</f>
        <v>-5</v>
      </c>
    </row>
    <row r="151" spans="1:10" x14ac:dyDescent="0.25">
      <c r="A151" s="9">
        <v>44290</v>
      </c>
      <c r="B151" s="10" t="s">
        <v>14</v>
      </c>
      <c r="C151" s="10">
        <v>5</v>
      </c>
      <c r="D151" s="10"/>
      <c r="E151" s="10" t="s">
        <v>15</v>
      </c>
      <c r="F151" s="10" t="s">
        <v>16</v>
      </c>
      <c r="G151" s="10" t="s">
        <v>17</v>
      </c>
      <c r="H151" s="10">
        <f>MONTH([1]Dataset!$A151)</f>
        <v>4</v>
      </c>
      <c r="I151" s="11">
        <f>WEEKDAY([1]Dataset!$A151)</f>
        <v>1</v>
      </c>
      <c r="J151" s="12">
        <f>[1]Dataset!$D151-[1]Dataset!$C151</f>
        <v>-5</v>
      </c>
    </row>
    <row r="152" spans="1:10" x14ac:dyDescent="0.25">
      <c r="A152" s="5">
        <v>44291</v>
      </c>
      <c r="B152" s="6" t="s">
        <v>14</v>
      </c>
      <c r="C152" s="6">
        <v>5</v>
      </c>
      <c r="D152" s="6"/>
      <c r="E152" s="6" t="s">
        <v>15</v>
      </c>
      <c r="F152" s="6" t="s">
        <v>16</v>
      </c>
      <c r="G152" s="6" t="s">
        <v>17</v>
      </c>
      <c r="H152" s="6">
        <f>MONTH([1]Dataset!$A152)</f>
        <v>4</v>
      </c>
      <c r="I152" s="7">
        <f>WEEKDAY([1]Dataset!$A152)</f>
        <v>2</v>
      </c>
      <c r="J152" s="8">
        <f>[1]Dataset!$D152-[1]Dataset!$C152</f>
        <v>-5</v>
      </c>
    </row>
    <row r="153" spans="1:10" x14ac:dyDescent="0.25">
      <c r="A153" s="9">
        <v>44291</v>
      </c>
      <c r="B153" s="10" t="s">
        <v>24</v>
      </c>
      <c r="C153" s="10">
        <v>158.19999999999999</v>
      </c>
      <c r="D153" s="10"/>
      <c r="E153" s="10" t="s">
        <v>25</v>
      </c>
      <c r="F153" s="10" t="s">
        <v>20</v>
      </c>
      <c r="G153" s="10" t="s">
        <v>17</v>
      </c>
      <c r="H153" s="10">
        <f>MONTH([1]Dataset!$A153)</f>
        <v>4</v>
      </c>
      <c r="I153" s="11">
        <f>WEEKDAY([1]Dataset!$A153)</f>
        <v>2</v>
      </c>
      <c r="J153" s="12">
        <f>[1]Dataset!$D153-[1]Dataset!$C153</f>
        <v>-158.19999999999999</v>
      </c>
    </row>
    <row r="154" spans="1:10" x14ac:dyDescent="0.25">
      <c r="A154" s="5">
        <v>44294</v>
      </c>
      <c r="B154" s="6" t="s">
        <v>26</v>
      </c>
      <c r="C154" s="6">
        <v>53.2</v>
      </c>
      <c r="D154" s="6"/>
      <c r="E154" s="6" t="s">
        <v>27</v>
      </c>
      <c r="F154" s="6" t="s">
        <v>20</v>
      </c>
      <c r="G154" s="6" t="s">
        <v>17</v>
      </c>
      <c r="H154" s="6">
        <f>MONTH([1]Dataset!$A154)</f>
        <v>4</v>
      </c>
      <c r="I154" s="7">
        <f>WEEKDAY([1]Dataset!$A154)</f>
        <v>5</v>
      </c>
      <c r="J154" s="8">
        <f>[1]Dataset!$D154-[1]Dataset!$C154</f>
        <v>-53.2</v>
      </c>
    </row>
    <row r="155" spans="1:10" x14ac:dyDescent="0.25">
      <c r="A155" s="9">
        <v>44294</v>
      </c>
      <c r="B155" s="10" t="s">
        <v>14</v>
      </c>
      <c r="C155" s="10">
        <v>5</v>
      </c>
      <c r="D155" s="10"/>
      <c r="E155" s="10" t="s">
        <v>15</v>
      </c>
      <c r="F155" s="10" t="s">
        <v>16</v>
      </c>
      <c r="G155" s="10" t="s">
        <v>17</v>
      </c>
      <c r="H155" s="10">
        <f>MONTH([1]Dataset!$A155)</f>
        <v>4</v>
      </c>
      <c r="I155" s="11">
        <f>WEEKDAY([1]Dataset!$A155)</f>
        <v>5</v>
      </c>
      <c r="J155" s="12">
        <f>[1]Dataset!$D155-[1]Dataset!$C155</f>
        <v>-5</v>
      </c>
    </row>
    <row r="156" spans="1:10" x14ac:dyDescent="0.25">
      <c r="A156" s="5">
        <v>44295</v>
      </c>
      <c r="B156" s="6" t="s">
        <v>14</v>
      </c>
      <c r="C156" s="6">
        <v>5</v>
      </c>
      <c r="D156" s="6"/>
      <c r="E156" s="6" t="s">
        <v>15</v>
      </c>
      <c r="F156" s="6" t="s">
        <v>16</v>
      </c>
      <c r="G156" s="6" t="s">
        <v>17</v>
      </c>
      <c r="H156" s="6">
        <f>MONTH([1]Dataset!$A156)</f>
        <v>4</v>
      </c>
      <c r="I156" s="7">
        <f>WEEKDAY([1]Dataset!$A156)</f>
        <v>6</v>
      </c>
      <c r="J156" s="8">
        <f>[1]Dataset!$D156-[1]Dataset!$C156</f>
        <v>-5</v>
      </c>
    </row>
    <row r="157" spans="1:10" x14ac:dyDescent="0.25">
      <c r="A157" s="9">
        <v>44296</v>
      </c>
      <c r="B157" s="10" t="s">
        <v>28</v>
      </c>
      <c r="C157" s="10">
        <v>79.900000000000006</v>
      </c>
      <c r="D157" s="10"/>
      <c r="E157" s="10" t="s">
        <v>51</v>
      </c>
      <c r="F157" s="10" t="s">
        <v>23</v>
      </c>
      <c r="G157" s="10" t="s">
        <v>17</v>
      </c>
      <c r="H157" s="10">
        <f>MONTH([1]Dataset!$A157)</f>
        <v>4</v>
      </c>
      <c r="I157" s="11">
        <f>WEEKDAY([1]Dataset!$A157)</f>
        <v>7</v>
      </c>
      <c r="J157" s="12">
        <f>[1]Dataset!$D157-[1]Dataset!$C157</f>
        <v>-79.900000000000006</v>
      </c>
    </row>
    <row r="158" spans="1:10" x14ac:dyDescent="0.25">
      <c r="A158" s="5">
        <v>44296</v>
      </c>
      <c r="B158" s="6" t="s">
        <v>14</v>
      </c>
      <c r="C158" s="6">
        <v>5</v>
      </c>
      <c r="D158" s="6"/>
      <c r="E158" s="6" t="s">
        <v>15</v>
      </c>
      <c r="F158" s="6" t="s">
        <v>16</v>
      </c>
      <c r="G158" s="6" t="s">
        <v>17</v>
      </c>
      <c r="H158" s="6">
        <f>MONTH([1]Dataset!$A158)</f>
        <v>4</v>
      </c>
      <c r="I158" s="7">
        <f>WEEKDAY([1]Dataset!$A158)</f>
        <v>7</v>
      </c>
      <c r="J158" s="8">
        <f>[1]Dataset!$D158-[1]Dataset!$C158</f>
        <v>-5</v>
      </c>
    </row>
    <row r="159" spans="1:10" x14ac:dyDescent="0.25">
      <c r="A159" s="9">
        <v>44297</v>
      </c>
      <c r="B159" s="10" t="s">
        <v>14</v>
      </c>
      <c r="C159" s="10">
        <v>5</v>
      </c>
      <c r="D159" s="10"/>
      <c r="E159" s="10" t="s">
        <v>15</v>
      </c>
      <c r="F159" s="10" t="s">
        <v>16</v>
      </c>
      <c r="G159" s="10" t="s">
        <v>17</v>
      </c>
      <c r="H159" s="10">
        <f>MONTH([1]Dataset!$A159)</f>
        <v>4</v>
      </c>
      <c r="I159" s="11">
        <f>WEEKDAY([1]Dataset!$A159)</f>
        <v>1</v>
      </c>
      <c r="J159" s="12">
        <f>[1]Dataset!$D159-[1]Dataset!$C159</f>
        <v>-5</v>
      </c>
    </row>
    <row r="160" spans="1:10" x14ac:dyDescent="0.25">
      <c r="A160" s="5">
        <v>44298</v>
      </c>
      <c r="B160" s="6" t="s">
        <v>24</v>
      </c>
      <c r="C160" s="6">
        <v>98</v>
      </c>
      <c r="D160" s="6"/>
      <c r="E160" s="6" t="s">
        <v>25</v>
      </c>
      <c r="F160" s="6" t="s">
        <v>20</v>
      </c>
      <c r="G160" s="6" t="s">
        <v>17</v>
      </c>
      <c r="H160" s="6">
        <f>MONTH([1]Dataset!$A160)</f>
        <v>4</v>
      </c>
      <c r="I160" s="7">
        <f>WEEKDAY([1]Dataset!$A160)</f>
        <v>2</v>
      </c>
      <c r="J160" s="8">
        <f>[1]Dataset!$D160-[1]Dataset!$C160</f>
        <v>-98</v>
      </c>
    </row>
    <row r="161" spans="1:10" x14ac:dyDescent="0.25">
      <c r="A161" s="9">
        <v>44298</v>
      </c>
      <c r="B161" s="10" t="s">
        <v>14</v>
      </c>
      <c r="C161" s="10">
        <v>5</v>
      </c>
      <c r="D161" s="10"/>
      <c r="E161" s="10" t="s">
        <v>15</v>
      </c>
      <c r="F161" s="10" t="s">
        <v>16</v>
      </c>
      <c r="G161" s="10" t="s">
        <v>17</v>
      </c>
      <c r="H161" s="10">
        <f>MONTH([1]Dataset!$A161)</f>
        <v>4</v>
      </c>
      <c r="I161" s="11">
        <f>WEEKDAY([1]Dataset!$A161)</f>
        <v>2</v>
      </c>
      <c r="J161" s="12">
        <f>[1]Dataset!$D161-[1]Dataset!$C161</f>
        <v>-5</v>
      </c>
    </row>
    <row r="162" spans="1:10" x14ac:dyDescent="0.25">
      <c r="A162" s="5">
        <v>44299</v>
      </c>
      <c r="B162" s="6" t="s">
        <v>14</v>
      </c>
      <c r="C162" s="6">
        <v>5</v>
      </c>
      <c r="D162" s="6"/>
      <c r="E162" s="6" t="s">
        <v>15</v>
      </c>
      <c r="F162" s="6" t="s">
        <v>16</v>
      </c>
      <c r="G162" s="6" t="s">
        <v>17</v>
      </c>
      <c r="H162" s="6">
        <f>MONTH([1]Dataset!$A162)</f>
        <v>4</v>
      </c>
      <c r="I162" s="7">
        <f>WEEKDAY([1]Dataset!$A162)</f>
        <v>3</v>
      </c>
      <c r="J162" s="8">
        <f>[1]Dataset!$D162-[1]Dataset!$C162</f>
        <v>-5</v>
      </c>
    </row>
    <row r="163" spans="1:10" x14ac:dyDescent="0.25">
      <c r="A163" s="9">
        <v>44299</v>
      </c>
      <c r="B163" s="10" t="s">
        <v>29</v>
      </c>
      <c r="C163" s="10">
        <v>42.8</v>
      </c>
      <c r="D163" s="10"/>
      <c r="E163" s="10" t="s">
        <v>30</v>
      </c>
      <c r="F163" s="10" t="s">
        <v>31</v>
      </c>
      <c r="G163" s="10" t="s">
        <v>17</v>
      </c>
      <c r="H163" s="10">
        <f>MONTH([1]Dataset!$A163)</f>
        <v>4</v>
      </c>
      <c r="I163" s="11">
        <f>WEEKDAY([1]Dataset!$A163)</f>
        <v>3</v>
      </c>
      <c r="J163" s="12">
        <f>[1]Dataset!$D163-[1]Dataset!$C163</f>
        <v>-42.8</v>
      </c>
    </row>
    <row r="164" spans="1:10" x14ac:dyDescent="0.25">
      <c r="A164" s="5">
        <v>44299</v>
      </c>
      <c r="B164" s="6" t="s">
        <v>32</v>
      </c>
      <c r="C164" s="6">
        <v>100.9</v>
      </c>
      <c r="D164" s="6"/>
      <c r="E164" s="6" t="s">
        <v>33</v>
      </c>
      <c r="F164" s="6" t="s">
        <v>31</v>
      </c>
      <c r="G164" s="6" t="s">
        <v>17</v>
      </c>
      <c r="H164" s="6">
        <f>MONTH([1]Dataset!$A164)</f>
        <v>4</v>
      </c>
      <c r="I164" s="7">
        <f>WEEKDAY([1]Dataset!$A164)</f>
        <v>3</v>
      </c>
      <c r="J164" s="8">
        <f>[1]Dataset!$D164-[1]Dataset!$C164</f>
        <v>-100.9</v>
      </c>
    </row>
    <row r="165" spans="1:10" x14ac:dyDescent="0.25">
      <c r="A165" s="9">
        <v>44299</v>
      </c>
      <c r="B165" s="10" t="s">
        <v>34</v>
      </c>
      <c r="C165" s="10">
        <v>54.9</v>
      </c>
      <c r="D165" s="10"/>
      <c r="E165" s="10" t="s">
        <v>35</v>
      </c>
      <c r="F165" s="10" t="s">
        <v>16</v>
      </c>
      <c r="G165" s="10" t="s">
        <v>17</v>
      </c>
      <c r="H165" s="10">
        <f>MONTH([1]Dataset!$A165)</f>
        <v>4</v>
      </c>
      <c r="I165" s="11">
        <f>WEEKDAY([1]Dataset!$A165)</f>
        <v>3</v>
      </c>
      <c r="J165" s="12">
        <f>[1]Dataset!$D165-[1]Dataset!$C165</f>
        <v>-54.9</v>
      </c>
    </row>
    <row r="166" spans="1:10" x14ac:dyDescent="0.25">
      <c r="A166" s="5">
        <v>44300</v>
      </c>
      <c r="B166" s="6" t="s">
        <v>36</v>
      </c>
      <c r="C166" s="6">
        <v>31</v>
      </c>
      <c r="D166" s="6"/>
      <c r="E166" s="6" t="s">
        <v>37</v>
      </c>
      <c r="F166" s="6" t="s">
        <v>23</v>
      </c>
      <c r="G166" s="6" t="s">
        <v>17</v>
      </c>
      <c r="H166" s="6">
        <f>MONTH([1]Dataset!$A166)</f>
        <v>4</v>
      </c>
      <c r="I166" s="7">
        <f>WEEKDAY([1]Dataset!$A166)</f>
        <v>4</v>
      </c>
      <c r="J166" s="8">
        <f>[1]Dataset!$D166-[1]Dataset!$C166</f>
        <v>-31</v>
      </c>
    </row>
    <row r="167" spans="1:10" x14ac:dyDescent="0.25">
      <c r="A167" s="9">
        <v>44301</v>
      </c>
      <c r="B167" s="10" t="s">
        <v>38</v>
      </c>
      <c r="C167" s="10"/>
      <c r="D167" s="10">
        <v>2340</v>
      </c>
      <c r="E167" s="10" t="s">
        <v>39</v>
      </c>
      <c r="F167" s="10" t="s">
        <v>40</v>
      </c>
      <c r="G167" s="10" t="s">
        <v>13</v>
      </c>
      <c r="H167" s="10">
        <f>MONTH([1]Dataset!$A167)</f>
        <v>4</v>
      </c>
      <c r="I167" s="11">
        <f>WEEKDAY([1]Dataset!$A167)</f>
        <v>5</v>
      </c>
      <c r="J167" s="12">
        <f>[1]Dataset!$D167-[1]Dataset!$C167</f>
        <v>2340</v>
      </c>
    </row>
    <row r="168" spans="1:10" x14ac:dyDescent="0.25">
      <c r="A168" s="5">
        <v>44301</v>
      </c>
      <c r="B168" s="6" t="s">
        <v>14</v>
      </c>
      <c r="C168" s="6">
        <v>5</v>
      </c>
      <c r="D168" s="6"/>
      <c r="E168" s="6" t="s">
        <v>15</v>
      </c>
      <c r="F168" s="6" t="s">
        <v>16</v>
      </c>
      <c r="G168" s="6" t="s">
        <v>17</v>
      </c>
      <c r="H168" s="6">
        <f>MONTH([1]Dataset!$A168)</f>
        <v>4</v>
      </c>
      <c r="I168" s="7">
        <f>WEEKDAY([1]Dataset!$A168)</f>
        <v>5</v>
      </c>
      <c r="J168" s="8">
        <f>[1]Dataset!$D168-[1]Dataset!$C168</f>
        <v>-5</v>
      </c>
    </row>
    <row r="169" spans="1:10" x14ac:dyDescent="0.25">
      <c r="A169" s="9">
        <v>44302</v>
      </c>
      <c r="B169" s="10" t="s">
        <v>14</v>
      </c>
      <c r="C169" s="10">
        <v>5</v>
      </c>
      <c r="D169" s="10"/>
      <c r="E169" s="10" t="s">
        <v>15</v>
      </c>
      <c r="F169" s="10" t="s">
        <v>16</v>
      </c>
      <c r="G169" s="10" t="s">
        <v>17</v>
      </c>
      <c r="H169" s="10">
        <f>MONTH([1]Dataset!$A169)</f>
        <v>4</v>
      </c>
      <c r="I169" s="11">
        <f>WEEKDAY([1]Dataset!$A169)</f>
        <v>6</v>
      </c>
      <c r="J169" s="12">
        <f>[1]Dataset!$D169-[1]Dataset!$C169</f>
        <v>-5</v>
      </c>
    </row>
    <row r="170" spans="1:10" x14ac:dyDescent="0.25">
      <c r="A170" s="5">
        <v>44302</v>
      </c>
      <c r="B170" s="6" t="s">
        <v>42</v>
      </c>
      <c r="C170" s="6">
        <v>40</v>
      </c>
      <c r="D170" s="6"/>
      <c r="E170" s="6" t="s">
        <v>42</v>
      </c>
      <c r="F170" s="6" t="s">
        <v>20</v>
      </c>
      <c r="G170" s="6" t="s">
        <v>17</v>
      </c>
      <c r="H170" s="6">
        <f>MONTH([1]Dataset!$A170)</f>
        <v>4</v>
      </c>
      <c r="I170" s="7">
        <f>WEEKDAY([1]Dataset!$A170)</f>
        <v>6</v>
      </c>
      <c r="J170" s="8">
        <f>[1]Dataset!$D170-[1]Dataset!$C170</f>
        <v>-40</v>
      </c>
    </row>
    <row r="171" spans="1:10" x14ac:dyDescent="0.25">
      <c r="A171" s="9">
        <v>44303</v>
      </c>
      <c r="B171" s="10" t="s">
        <v>43</v>
      </c>
      <c r="C171" s="10">
        <v>47.9</v>
      </c>
      <c r="D171" s="10"/>
      <c r="E171" s="10" t="s">
        <v>44</v>
      </c>
      <c r="F171" s="10" t="s">
        <v>31</v>
      </c>
      <c r="G171" s="10" t="s">
        <v>17</v>
      </c>
      <c r="H171" s="10">
        <f>MONTH([1]Dataset!$A171)</f>
        <v>4</v>
      </c>
      <c r="I171" s="11">
        <f>WEEKDAY([1]Dataset!$A171)</f>
        <v>7</v>
      </c>
      <c r="J171" s="12">
        <f>[1]Dataset!$D171-[1]Dataset!$C171</f>
        <v>-47.9</v>
      </c>
    </row>
    <row r="172" spans="1:10" x14ac:dyDescent="0.25">
      <c r="A172" s="5">
        <v>44303</v>
      </c>
      <c r="B172" s="6" t="s">
        <v>45</v>
      </c>
      <c r="C172" s="6">
        <v>35</v>
      </c>
      <c r="D172" s="6"/>
      <c r="E172" s="6" t="s">
        <v>30</v>
      </c>
      <c r="F172" s="6" t="s">
        <v>31</v>
      </c>
      <c r="G172" s="6" t="s">
        <v>17</v>
      </c>
      <c r="H172" s="6">
        <f>MONTH([1]Dataset!$A172)</f>
        <v>4</v>
      </c>
      <c r="I172" s="7">
        <f>WEEKDAY([1]Dataset!$A172)</f>
        <v>7</v>
      </c>
      <c r="J172" s="8">
        <f>[1]Dataset!$D172-[1]Dataset!$C172</f>
        <v>-35</v>
      </c>
    </row>
    <row r="173" spans="1:10" x14ac:dyDescent="0.25">
      <c r="A173" s="9">
        <v>44303</v>
      </c>
      <c r="B173" s="10" t="s">
        <v>14</v>
      </c>
      <c r="C173" s="10">
        <v>5</v>
      </c>
      <c r="D173" s="10"/>
      <c r="E173" s="10" t="s">
        <v>15</v>
      </c>
      <c r="F173" s="10" t="s">
        <v>16</v>
      </c>
      <c r="G173" s="10" t="s">
        <v>17</v>
      </c>
      <c r="H173" s="10">
        <f>MONTH([1]Dataset!$A173)</f>
        <v>4</v>
      </c>
      <c r="I173" s="11">
        <f>WEEKDAY([1]Dataset!$A173)</f>
        <v>7</v>
      </c>
      <c r="J173" s="12">
        <f>[1]Dataset!$D173-[1]Dataset!$C173</f>
        <v>-5</v>
      </c>
    </row>
    <row r="174" spans="1:10" x14ac:dyDescent="0.25">
      <c r="A174" s="5">
        <v>44304</v>
      </c>
      <c r="B174" s="6" t="s">
        <v>14</v>
      </c>
      <c r="C174" s="6">
        <v>5</v>
      </c>
      <c r="D174" s="6"/>
      <c r="E174" s="6" t="s">
        <v>15</v>
      </c>
      <c r="F174" s="6" t="s">
        <v>16</v>
      </c>
      <c r="G174" s="6" t="s">
        <v>17</v>
      </c>
      <c r="H174" s="6">
        <f>MONTH([1]Dataset!$A174)</f>
        <v>4</v>
      </c>
      <c r="I174" s="7">
        <f>WEEKDAY([1]Dataset!$A174)</f>
        <v>1</v>
      </c>
      <c r="J174" s="8">
        <f>[1]Dataset!$D174-[1]Dataset!$C174</f>
        <v>-5</v>
      </c>
    </row>
    <row r="175" spans="1:10" x14ac:dyDescent="0.25">
      <c r="A175" s="9">
        <v>44305</v>
      </c>
      <c r="B175" s="10" t="s">
        <v>14</v>
      </c>
      <c r="C175" s="10">
        <v>5</v>
      </c>
      <c r="D175" s="10"/>
      <c r="E175" s="10" t="s">
        <v>15</v>
      </c>
      <c r="F175" s="10" t="s">
        <v>16</v>
      </c>
      <c r="G175" s="10" t="s">
        <v>17</v>
      </c>
      <c r="H175" s="10">
        <f>MONTH([1]Dataset!$A175)</f>
        <v>4</v>
      </c>
      <c r="I175" s="11">
        <f>WEEKDAY([1]Dataset!$A175)</f>
        <v>2</v>
      </c>
      <c r="J175" s="12">
        <f>[1]Dataset!$D175-[1]Dataset!$C175</f>
        <v>-5</v>
      </c>
    </row>
    <row r="176" spans="1:10" x14ac:dyDescent="0.25">
      <c r="A176" s="5">
        <v>44305</v>
      </c>
      <c r="B176" s="6" t="s">
        <v>24</v>
      </c>
      <c r="C176" s="6">
        <v>173</v>
      </c>
      <c r="D176" s="6"/>
      <c r="E176" s="6" t="s">
        <v>25</v>
      </c>
      <c r="F176" s="6" t="s">
        <v>20</v>
      </c>
      <c r="G176" s="6" t="s">
        <v>17</v>
      </c>
      <c r="H176" s="6">
        <f>MONTH([1]Dataset!$A176)</f>
        <v>4</v>
      </c>
      <c r="I176" s="7">
        <f>WEEKDAY([1]Dataset!$A176)</f>
        <v>2</v>
      </c>
      <c r="J176" s="8">
        <f>[1]Dataset!$D176-[1]Dataset!$C176</f>
        <v>-173</v>
      </c>
    </row>
    <row r="177" spans="1:10" x14ac:dyDescent="0.25">
      <c r="A177" s="9">
        <v>44306</v>
      </c>
      <c r="B177" s="10" t="s">
        <v>46</v>
      </c>
      <c r="C177" s="10">
        <v>40.1</v>
      </c>
      <c r="D177" s="10"/>
      <c r="E177" s="10" t="s">
        <v>35</v>
      </c>
      <c r="F177" s="10" t="s">
        <v>16</v>
      </c>
      <c r="G177" s="10" t="s">
        <v>17</v>
      </c>
      <c r="H177" s="10">
        <f>MONTH([1]Dataset!$A177)</f>
        <v>4</v>
      </c>
      <c r="I177" s="11">
        <f>WEEKDAY([1]Dataset!$A177)</f>
        <v>3</v>
      </c>
      <c r="J177" s="12">
        <f>[1]Dataset!$D177-[1]Dataset!$C177</f>
        <v>-40.1</v>
      </c>
    </row>
    <row r="178" spans="1:10" x14ac:dyDescent="0.25">
      <c r="A178" s="5">
        <v>44307</v>
      </c>
      <c r="B178" s="6" t="s">
        <v>47</v>
      </c>
      <c r="C178" s="6">
        <v>15.1</v>
      </c>
      <c r="D178" s="6"/>
      <c r="E178" s="6" t="s">
        <v>35</v>
      </c>
      <c r="F178" s="6" t="s">
        <v>16</v>
      </c>
      <c r="G178" s="6" t="s">
        <v>17</v>
      </c>
      <c r="H178" s="6">
        <f>MONTH([1]Dataset!$A178)</f>
        <v>4</v>
      </c>
      <c r="I178" s="7">
        <f>WEEKDAY([1]Dataset!$A178)</f>
        <v>4</v>
      </c>
      <c r="J178" s="8">
        <f>[1]Dataset!$D178-[1]Dataset!$C178</f>
        <v>-15.1</v>
      </c>
    </row>
    <row r="179" spans="1:10" x14ac:dyDescent="0.25">
      <c r="A179" s="9">
        <v>44308</v>
      </c>
      <c r="B179" s="10" t="s">
        <v>48</v>
      </c>
      <c r="C179" s="10">
        <v>55</v>
      </c>
      <c r="D179" s="10"/>
      <c r="E179" s="10" t="s">
        <v>49</v>
      </c>
      <c r="F179" s="10" t="s">
        <v>50</v>
      </c>
      <c r="G179" s="10" t="s">
        <v>17</v>
      </c>
      <c r="H179" s="10">
        <f>MONTH([1]Dataset!$A179)</f>
        <v>4</v>
      </c>
      <c r="I179" s="11">
        <f>WEEKDAY([1]Dataset!$A179)</f>
        <v>5</v>
      </c>
      <c r="J179" s="12">
        <f>[1]Dataset!$D179-[1]Dataset!$C179</f>
        <v>-55</v>
      </c>
    </row>
    <row r="180" spans="1:10" x14ac:dyDescent="0.25">
      <c r="A180" s="5">
        <v>44308</v>
      </c>
      <c r="B180" s="6" t="s">
        <v>28</v>
      </c>
      <c r="C180" s="6">
        <v>66</v>
      </c>
      <c r="D180" s="6"/>
      <c r="E180" s="6" t="s">
        <v>51</v>
      </c>
      <c r="F180" s="6" t="s">
        <v>23</v>
      </c>
      <c r="G180" s="6" t="s">
        <v>17</v>
      </c>
      <c r="H180" s="6">
        <f>MONTH([1]Dataset!$A180)</f>
        <v>4</v>
      </c>
      <c r="I180" s="7">
        <f>WEEKDAY([1]Dataset!$A180)</f>
        <v>5</v>
      </c>
      <c r="J180" s="8">
        <f>[1]Dataset!$D180-[1]Dataset!$C180</f>
        <v>-66</v>
      </c>
    </row>
    <row r="181" spans="1:10" x14ac:dyDescent="0.25">
      <c r="A181" s="9">
        <v>44308</v>
      </c>
      <c r="B181" s="10" t="s">
        <v>14</v>
      </c>
      <c r="C181" s="10">
        <v>5</v>
      </c>
      <c r="D181" s="10"/>
      <c r="E181" s="10" t="s">
        <v>15</v>
      </c>
      <c r="F181" s="10" t="s">
        <v>16</v>
      </c>
      <c r="G181" s="10" t="s">
        <v>17</v>
      </c>
      <c r="H181" s="10">
        <f>MONTH([1]Dataset!$A181)</f>
        <v>4</v>
      </c>
      <c r="I181" s="11">
        <f>WEEKDAY([1]Dataset!$A181)</f>
        <v>5</v>
      </c>
      <c r="J181" s="12">
        <f>[1]Dataset!$D181-[1]Dataset!$C181</f>
        <v>-5</v>
      </c>
    </row>
    <row r="182" spans="1:10" x14ac:dyDescent="0.25">
      <c r="A182" s="5">
        <v>44309</v>
      </c>
      <c r="B182" s="6" t="s">
        <v>14</v>
      </c>
      <c r="C182" s="6">
        <v>5</v>
      </c>
      <c r="D182" s="6"/>
      <c r="E182" s="6" t="s">
        <v>15</v>
      </c>
      <c r="F182" s="6" t="s">
        <v>16</v>
      </c>
      <c r="G182" s="6" t="s">
        <v>17</v>
      </c>
      <c r="H182" s="6">
        <f>MONTH([1]Dataset!$A182)</f>
        <v>4</v>
      </c>
      <c r="I182" s="7">
        <f>WEEKDAY([1]Dataset!$A182)</f>
        <v>6</v>
      </c>
      <c r="J182" s="8">
        <f>[1]Dataset!$D182-[1]Dataset!$C182</f>
        <v>-5</v>
      </c>
    </row>
    <row r="183" spans="1:10" x14ac:dyDescent="0.25">
      <c r="A183" s="9">
        <v>44310</v>
      </c>
      <c r="B183" s="10" t="s">
        <v>14</v>
      </c>
      <c r="C183" s="10">
        <v>5</v>
      </c>
      <c r="D183" s="10"/>
      <c r="E183" s="10" t="s">
        <v>15</v>
      </c>
      <c r="F183" s="10" t="s">
        <v>16</v>
      </c>
      <c r="G183" s="10" t="s">
        <v>17</v>
      </c>
      <c r="H183" s="10">
        <f>MONTH([1]Dataset!$A183)</f>
        <v>4</v>
      </c>
      <c r="I183" s="11">
        <f>WEEKDAY([1]Dataset!$A183)</f>
        <v>7</v>
      </c>
      <c r="J183" s="12">
        <f>[1]Dataset!$D183-[1]Dataset!$C183</f>
        <v>-5</v>
      </c>
    </row>
    <row r="184" spans="1:10" x14ac:dyDescent="0.25">
      <c r="A184" s="5">
        <v>44311</v>
      </c>
      <c r="B184" s="6" t="s">
        <v>14</v>
      </c>
      <c r="C184" s="6">
        <v>5</v>
      </c>
      <c r="D184" s="6"/>
      <c r="E184" s="6" t="s">
        <v>15</v>
      </c>
      <c r="F184" s="6" t="s">
        <v>16</v>
      </c>
      <c r="G184" s="6" t="s">
        <v>17</v>
      </c>
      <c r="H184" s="6">
        <f>MONTH([1]Dataset!$A184)</f>
        <v>4</v>
      </c>
      <c r="I184" s="7">
        <f>WEEKDAY([1]Dataset!$A184)</f>
        <v>1</v>
      </c>
      <c r="J184" s="8">
        <f>[1]Dataset!$D184-[1]Dataset!$C184</f>
        <v>-5</v>
      </c>
    </row>
    <row r="185" spans="1:10" x14ac:dyDescent="0.25">
      <c r="A185" s="9">
        <v>44312</v>
      </c>
      <c r="B185" s="10" t="s">
        <v>14</v>
      </c>
      <c r="C185" s="10">
        <v>5</v>
      </c>
      <c r="D185" s="10"/>
      <c r="E185" s="10" t="s">
        <v>15</v>
      </c>
      <c r="F185" s="10" t="s">
        <v>16</v>
      </c>
      <c r="G185" s="10" t="s">
        <v>17</v>
      </c>
      <c r="H185" s="10">
        <f>MONTH([1]Dataset!$A185)</f>
        <v>4</v>
      </c>
      <c r="I185" s="11">
        <f>WEEKDAY([1]Dataset!$A185)</f>
        <v>2</v>
      </c>
      <c r="J185" s="12">
        <f>[1]Dataset!$D185-[1]Dataset!$C185</f>
        <v>-5</v>
      </c>
    </row>
    <row r="186" spans="1:10" x14ac:dyDescent="0.25">
      <c r="A186" s="5">
        <v>44312</v>
      </c>
      <c r="B186" s="6" t="s">
        <v>24</v>
      </c>
      <c r="C186" s="6">
        <v>164.9</v>
      </c>
      <c r="D186" s="6"/>
      <c r="E186" s="6" t="s">
        <v>25</v>
      </c>
      <c r="F186" s="6" t="s">
        <v>20</v>
      </c>
      <c r="G186" s="6" t="s">
        <v>17</v>
      </c>
      <c r="H186" s="6">
        <f>MONTH([1]Dataset!$A186)</f>
        <v>4</v>
      </c>
      <c r="I186" s="7">
        <f>WEEKDAY([1]Dataset!$A186)</f>
        <v>2</v>
      </c>
      <c r="J186" s="8">
        <f>[1]Dataset!$D186-[1]Dataset!$C186</f>
        <v>-164.9</v>
      </c>
    </row>
    <row r="187" spans="1:10" x14ac:dyDescent="0.25">
      <c r="A187" s="9">
        <v>44313</v>
      </c>
      <c r="B187" s="10" t="s">
        <v>52</v>
      </c>
      <c r="C187" s="10">
        <v>127.9</v>
      </c>
      <c r="D187" s="10"/>
      <c r="E187" s="10" t="s">
        <v>33</v>
      </c>
      <c r="F187" s="10" t="s">
        <v>31</v>
      </c>
      <c r="G187" s="10" t="s">
        <v>17</v>
      </c>
      <c r="H187" s="10">
        <f>MONTH([1]Dataset!$A187)</f>
        <v>4</v>
      </c>
      <c r="I187" s="11">
        <f>WEEKDAY([1]Dataset!$A187)</f>
        <v>3</v>
      </c>
      <c r="J187" s="12">
        <f>[1]Dataset!$D187-[1]Dataset!$C187</f>
        <v>-127.9</v>
      </c>
    </row>
    <row r="188" spans="1:10" x14ac:dyDescent="0.25">
      <c r="A188" s="5">
        <v>44313</v>
      </c>
      <c r="B188" s="6" t="s">
        <v>60</v>
      </c>
      <c r="C188" s="6">
        <v>300</v>
      </c>
      <c r="D188" s="6"/>
      <c r="E188" s="6" t="s">
        <v>30</v>
      </c>
      <c r="F188" s="6" t="s">
        <v>31</v>
      </c>
      <c r="G188" s="6" t="s">
        <v>17</v>
      </c>
      <c r="H188" s="6">
        <f>MONTH([1]Dataset!$A188)</f>
        <v>4</v>
      </c>
      <c r="I188" s="7">
        <f>WEEKDAY([1]Dataset!$A188)</f>
        <v>3</v>
      </c>
      <c r="J188" s="8">
        <f>[1]Dataset!$D188-[1]Dataset!$C188</f>
        <v>-300</v>
      </c>
    </row>
    <row r="189" spans="1:10" x14ac:dyDescent="0.25">
      <c r="A189" s="9">
        <v>44314</v>
      </c>
      <c r="B189" s="10" t="s">
        <v>32</v>
      </c>
      <c r="C189" s="10">
        <v>148.1</v>
      </c>
      <c r="D189" s="10"/>
      <c r="E189" s="10" t="s">
        <v>33</v>
      </c>
      <c r="F189" s="10" t="s">
        <v>31</v>
      </c>
      <c r="G189" s="10" t="s">
        <v>17</v>
      </c>
      <c r="H189" s="10">
        <f>MONTH([1]Dataset!$A189)</f>
        <v>4</v>
      </c>
      <c r="I189" s="11">
        <f>WEEKDAY([1]Dataset!$A189)</f>
        <v>4</v>
      </c>
      <c r="J189" s="12">
        <f>[1]Dataset!$D189-[1]Dataset!$C189</f>
        <v>-148.1</v>
      </c>
    </row>
    <row r="190" spans="1:10" x14ac:dyDescent="0.25">
      <c r="A190" s="5">
        <v>44314</v>
      </c>
      <c r="B190" s="6" t="s">
        <v>36</v>
      </c>
      <c r="C190" s="6">
        <v>26.1</v>
      </c>
      <c r="D190" s="6"/>
      <c r="E190" s="6" t="s">
        <v>37</v>
      </c>
      <c r="F190" s="6" t="s">
        <v>23</v>
      </c>
      <c r="G190" s="6" t="s">
        <v>17</v>
      </c>
      <c r="H190" s="6">
        <f>MONTH([1]Dataset!$A190)</f>
        <v>4</v>
      </c>
      <c r="I190" s="7">
        <f>WEEKDAY([1]Dataset!$A190)</f>
        <v>4</v>
      </c>
      <c r="J190" s="8">
        <f>[1]Dataset!$D190-[1]Dataset!$C190</f>
        <v>-26.1</v>
      </c>
    </row>
    <row r="191" spans="1:10" x14ac:dyDescent="0.25">
      <c r="A191" s="9">
        <v>44315</v>
      </c>
      <c r="B191" s="10" t="s">
        <v>59</v>
      </c>
      <c r="C191" s="10">
        <v>15</v>
      </c>
      <c r="D191" s="10"/>
      <c r="E191" s="10" t="s">
        <v>35</v>
      </c>
      <c r="F191" s="10" t="s">
        <v>16</v>
      </c>
      <c r="G191" s="10" t="s">
        <v>17</v>
      </c>
      <c r="H191" s="10">
        <f>MONTH([1]Dataset!$A191)</f>
        <v>4</v>
      </c>
      <c r="I191" s="11">
        <f>WEEKDAY([1]Dataset!$A191)</f>
        <v>5</v>
      </c>
      <c r="J191" s="12">
        <f>[1]Dataset!$D191-[1]Dataset!$C191</f>
        <v>-15</v>
      </c>
    </row>
    <row r="192" spans="1:10" x14ac:dyDescent="0.25">
      <c r="A192" s="5">
        <v>44315</v>
      </c>
      <c r="B192" s="6" t="s">
        <v>14</v>
      </c>
      <c r="C192" s="6">
        <v>5</v>
      </c>
      <c r="D192" s="6"/>
      <c r="E192" s="6" t="s">
        <v>15</v>
      </c>
      <c r="F192" s="6" t="s">
        <v>16</v>
      </c>
      <c r="G192" s="6" t="s">
        <v>17</v>
      </c>
      <c r="H192" s="6">
        <f>MONTH([1]Dataset!$A192)</f>
        <v>4</v>
      </c>
      <c r="I192" s="7">
        <f>WEEKDAY([1]Dataset!$A192)</f>
        <v>5</v>
      </c>
      <c r="J192" s="8">
        <f>[1]Dataset!$D192-[1]Dataset!$C192</f>
        <v>-5</v>
      </c>
    </row>
    <row r="193" spans="1:10" x14ac:dyDescent="0.25">
      <c r="A193" s="9">
        <v>44316</v>
      </c>
      <c r="B193" s="10" t="s">
        <v>14</v>
      </c>
      <c r="C193" s="10">
        <v>5</v>
      </c>
      <c r="D193" s="10"/>
      <c r="E193" s="10" t="s">
        <v>15</v>
      </c>
      <c r="F193" s="10" t="s">
        <v>16</v>
      </c>
      <c r="G193" s="10" t="s">
        <v>17</v>
      </c>
      <c r="H193" s="10">
        <f>MONTH([1]Dataset!$A193)</f>
        <v>4</v>
      </c>
      <c r="I193" s="11">
        <f>WEEKDAY([1]Dataset!$A193)</f>
        <v>6</v>
      </c>
      <c r="J193" s="12">
        <f>[1]Dataset!$D193-[1]Dataset!$C193</f>
        <v>-5</v>
      </c>
    </row>
    <row r="194" spans="1:10" x14ac:dyDescent="0.25">
      <c r="A194" s="5">
        <v>44318</v>
      </c>
      <c r="B194" s="6" t="s">
        <v>14</v>
      </c>
      <c r="C194" s="6">
        <v>5</v>
      </c>
      <c r="D194" s="6"/>
      <c r="E194" s="6" t="s">
        <v>15</v>
      </c>
      <c r="F194" s="6" t="s">
        <v>16</v>
      </c>
      <c r="G194" s="6" t="s">
        <v>17</v>
      </c>
      <c r="H194" s="6">
        <f>MONTH([1]Dataset!$A194)</f>
        <v>5</v>
      </c>
      <c r="I194" s="7">
        <f>WEEKDAY([1]Dataset!$A194)</f>
        <v>1</v>
      </c>
      <c r="J194" s="8">
        <f>[1]Dataset!$D194-[1]Dataset!$C194</f>
        <v>-5</v>
      </c>
    </row>
    <row r="195" spans="1:10" x14ac:dyDescent="0.25">
      <c r="A195" s="9">
        <v>44319</v>
      </c>
      <c r="B195" s="10" t="s">
        <v>10</v>
      </c>
      <c r="C195" s="10"/>
      <c r="D195" s="10">
        <v>5000</v>
      </c>
      <c r="E195" s="10" t="s">
        <v>11</v>
      </c>
      <c r="F195" s="10" t="s">
        <v>12</v>
      </c>
      <c r="G195" s="10" t="s">
        <v>13</v>
      </c>
      <c r="H195" s="10">
        <f>MONTH([1]Dataset!$A195)</f>
        <v>5</v>
      </c>
      <c r="I195" s="11">
        <f>WEEKDAY([1]Dataset!$A195)</f>
        <v>2</v>
      </c>
      <c r="J195" s="12">
        <f>[1]Dataset!$D195-[1]Dataset!$C195</f>
        <v>5000</v>
      </c>
    </row>
    <row r="196" spans="1:10" x14ac:dyDescent="0.25">
      <c r="A196" s="5">
        <v>44319</v>
      </c>
      <c r="B196" s="6" t="s">
        <v>18</v>
      </c>
      <c r="C196" s="6">
        <v>900</v>
      </c>
      <c r="D196" s="6"/>
      <c r="E196" s="6" t="s">
        <v>19</v>
      </c>
      <c r="F196" s="6" t="s">
        <v>20</v>
      </c>
      <c r="G196" s="6" t="s">
        <v>17</v>
      </c>
      <c r="H196" s="6">
        <f>MONTH([1]Dataset!$A196)</f>
        <v>5</v>
      </c>
      <c r="I196" s="7">
        <f>WEEKDAY([1]Dataset!$A196)</f>
        <v>2</v>
      </c>
      <c r="J196" s="8">
        <f>[1]Dataset!$D196-[1]Dataset!$C196</f>
        <v>-900</v>
      </c>
    </row>
    <row r="197" spans="1:10" x14ac:dyDescent="0.25">
      <c r="A197" s="9">
        <v>44319</v>
      </c>
      <c r="B197" s="10" t="s">
        <v>21</v>
      </c>
      <c r="C197" s="10">
        <v>150</v>
      </c>
      <c r="D197" s="10"/>
      <c r="E197" s="10" t="s">
        <v>22</v>
      </c>
      <c r="F197" s="10" t="s">
        <v>23</v>
      </c>
      <c r="G197" s="10" t="s">
        <v>17</v>
      </c>
      <c r="H197" s="10">
        <f>MONTH([1]Dataset!$A197)</f>
        <v>5</v>
      </c>
      <c r="I197" s="11">
        <f>WEEKDAY([1]Dataset!$A197)</f>
        <v>2</v>
      </c>
      <c r="J197" s="12">
        <f>[1]Dataset!$D197-[1]Dataset!$C197</f>
        <v>-150</v>
      </c>
    </row>
    <row r="198" spans="1:10" x14ac:dyDescent="0.25">
      <c r="A198" s="5">
        <v>44319</v>
      </c>
      <c r="B198" s="6" t="s">
        <v>14</v>
      </c>
      <c r="C198" s="6">
        <v>5</v>
      </c>
      <c r="D198" s="6"/>
      <c r="E198" s="6" t="s">
        <v>15</v>
      </c>
      <c r="F198" s="6" t="s">
        <v>16</v>
      </c>
      <c r="G198" s="6" t="s">
        <v>17</v>
      </c>
      <c r="H198" s="6">
        <f>MONTH([1]Dataset!$A198)</f>
        <v>5</v>
      </c>
      <c r="I198" s="7">
        <f>WEEKDAY([1]Dataset!$A198)</f>
        <v>2</v>
      </c>
      <c r="J198" s="8">
        <f>[1]Dataset!$D198-[1]Dataset!$C198</f>
        <v>-5</v>
      </c>
    </row>
    <row r="199" spans="1:10" x14ac:dyDescent="0.25">
      <c r="A199" s="9">
        <v>44320</v>
      </c>
      <c r="B199" s="10" t="s">
        <v>14</v>
      </c>
      <c r="C199" s="10">
        <v>5</v>
      </c>
      <c r="D199" s="10"/>
      <c r="E199" s="10" t="s">
        <v>15</v>
      </c>
      <c r="F199" s="10" t="s">
        <v>16</v>
      </c>
      <c r="G199" s="10" t="s">
        <v>17</v>
      </c>
      <c r="H199" s="10">
        <f>MONTH([1]Dataset!$A199)</f>
        <v>5</v>
      </c>
      <c r="I199" s="11">
        <f>WEEKDAY([1]Dataset!$A199)</f>
        <v>3</v>
      </c>
      <c r="J199" s="12">
        <f>[1]Dataset!$D199-[1]Dataset!$C199</f>
        <v>-5</v>
      </c>
    </row>
    <row r="200" spans="1:10" x14ac:dyDescent="0.25">
      <c r="A200" s="5">
        <v>44321</v>
      </c>
      <c r="B200" s="6" t="s">
        <v>14</v>
      </c>
      <c r="C200" s="6">
        <v>5</v>
      </c>
      <c r="D200" s="6"/>
      <c r="E200" s="6" t="s">
        <v>15</v>
      </c>
      <c r="F200" s="6" t="s">
        <v>16</v>
      </c>
      <c r="G200" s="6" t="s">
        <v>17</v>
      </c>
      <c r="H200" s="6">
        <f>MONTH([1]Dataset!$A200)</f>
        <v>5</v>
      </c>
      <c r="I200" s="7">
        <f>WEEKDAY([1]Dataset!$A200)</f>
        <v>4</v>
      </c>
      <c r="J200" s="8">
        <f>[1]Dataset!$D200-[1]Dataset!$C200</f>
        <v>-5</v>
      </c>
    </row>
    <row r="201" spans="1:10" x14ac:dyDescent="0.25">
      <c r="A201" s="9">
        <v>44322</v>
      </c>
      <c r="B201" s="10" t="s">
        <v>14</v>
      </c>
      <c r="C201" s="10">
        <v>5</v>
      </c>
      <c r="D201" s="10"/>
      <c r="E201" s="10" t="s">
        <v>15</v>
      </c>
      <c r="F201" s="10" t="s">
        <v>16</v>
      </c>
      <c r="G201" s="10" t="s">
        <v>17</v>
      </c>
      <c r="H201" s="10">
        <f>MONTH([1]Dataset!$A201)</f>
        <v>5</v>
      </c>
      <c r="I201" s="11">
        <f>WEEKDAY([1]Dataset!$A201)</f>
        <v>5</v>
      </c>
      <c r="J201" s="12">
        <f>[1]Dataset!$D201-[1]Dataset!$C201</f>
        <v>-5</v>
      </c>
    </row>
    <row r="202" spans="1:10" x14ac:dyDescent="0.25">
      <c r="A202" s="5">
        <v>44322</v>
      </c>
      <c r="B202" s="6" t="s">
        <v>24</v>
      </c>
      <c r="C202" s="6">
        <v>170</v>
      </c>
      <c r="D202" s="6"/>
      <c r="E202" s="6" t="s">
        <v>25</v>
      </c>
      <c r="F202" s="6" t="s">
        <v>20</v>
      </c>
      <c r="G202" s="6" t="s">
        <v>17</v>
      </c>
      <c r="H202" s="6">
        <f>MONTH([1]Dataset!$A202)</f>
        <v>5</v>
      </c>
      <c r="I202" s="7">
        <f>WEEKDAY([1]Dataset!$A202)</f>
        <v>5</v>
      </c>
      <c r="J202" s="8">
        <f>[1]Dataset!$D202-[1]Dataset!$C202</f>
        <v>-170</v>
      </c>
    </row>
    <row r="203" spans="1:10" x14ac:dyDescent="0.25">
      <c r="A203" s="9">
        <v>44325</v>
      </c>
      <c r="B203" s="10" t="s">
        <v>26</v>
      </c>
      <c r="C203" s="10">
        <v>54.1</v>
      </c>
      <c r="D203" s="10"/>
      <c r="E203" s="10" t="s">
        <v>27</v>
      </c>
      <c r="F203" s="10" t="s">
        <v>20</v>
      </c>
      <c r="G203" s="10" t="s">
        <v>17</v>
      </c>
      <c r="H203" s="10">
        <f>MONTH([1]Dataset!$A203)</f>
        <v>5</v>
      </c>
      <c r="I203" s="11">
        <f>WEEKDAY([1]Dataset!$A203)</f>
        <v>1</v>
      </c>
      <c r="J203" s="12">
        <f>[1]Dataset!$D203-[1]Dataset!$C203</f>
        <v>-54.1</v>
      </c>
    </row>
    <row r="204" spans="1:10" x14ac:dyDescent="0.25">
      <c r="A204" s="5">
        <v>44325</v>
      </c>
      <c r="B204" s="6" t="s">
        <v>14</v>
      </c>
      <c r="C204" s="6">
        <v>5</v>
      </c>
      <c r="D204" s="6"/>
      <c r="E204" s="6" t="s">
        <v>15</v>
      </c>
      <c r="F204" s="6" t="s">
        <v>16</v>
      </c>
      <c r="G204" s="6" t="s">
        <v>17</v>
      </c>
      <c r="H204" s="6">
        <f>MONTH([1]Dataset!$A204)</f>
        <v>5</v>
      </c>
      <c r="I204" s="7">
        <f>WEEKDAY([1]Dataset!$A204)</f>
        <v>1</v>
      </c>
      <c r="J204" s="8">
        <f>[1]Dataset!$D204-[1]Dataset!$C204</f>
        <v>-5</v>
      </c>
    </row>
    <row r="205" spans="1:10" x14ac:dyDescent="0.25">
      <c r="A205" s="9">
        <v>44326</v>
      </c>
      <c r="B205" s="10" t="s">
        <v>14</v>
      </c>
      <c r="C205" s="10">
        <v>5</v>
      </c>
      <c r="D205" s="10"/>
      <c r="E205" s="10" t="s">
        <v>15</v>
      </c>
      <c r="F205" s="10" t="s">
        <v>16</v>
      </c>
      <c r="G205" s="10" t="s">
        <v>17</v>
      </c>
      <c r="H205" s="10">
        <f>MONTH([1]Dataset!$A205)</f>
        <v>5</v>
      </c>
      <c r="I205" s="11">
        <f>WEEKDAY([1]Dataset!$A205)</f>
        <v>2</v>
      </c>
      <c r="J205" s="12">
        <f>[1]Dataset!$D205-[1]Dataset!$C205</f>
        <v>-5</v>
      </c>
    </row>
    <row r="206" spans="1:10" x14ac:dyDescent="0.25">
      <c r="A206" s="5">
        <v>44327</v>
      </c>
      <c r="B206" s="6" t="s">
        <v>28</v>
      </c>
      <c r="C206" s="6">
        <v>81</v>
      </c>
      <c r="D206" s="6"/>
      <c r="E206" s="6" t="s">
        <v>51</v>
      </c>
      <c r="F206" s="6" t="s">
        <v>23</v>
      </c>
      <c r="G206" s="6" t="s">
        <v>17</v>
      </c>
      <c r="H206" s="6">
        <f>MONTH([1]Dataset!$A206)</f>
        <v>5</v>
      </c>
      <c r="I206" s="7">
        <f>WEEKDAY([1]Dataset!$A206)</f>
        <v>3</v>
      </c>
      <c r="J206" s="8">
        <f>[1]Dataset!$D206-[1]Dataset!$C206</f>
        <v>-81</v>
      </c>
    </row>
    <row r="207" spans="1:10" x14ac:dyDescent="0.25">
      <c r="A207" s="9">
        <v>44327</v>
      </c>
      <c r="B207" s="10" t="s">
        <v>14</v>
      </c>
      <c r="C207" s="10">
        <v>5</v>
      </c>
      <c r="D207" s="10"/>
      <c r="E207" s="10" t="s">
        <v>15</v>
      </c>
      <c r="F207" s="10" t="s">
        <v>16</v>
      </c>
      <c r="G207" s="10" t="s">
        <v>17</v>
      </c>
      <c r="H207" s="10">
        <f>MONTH([1]Dataset!$A207)</f>
        <v>5</v>
      </c>
      <c r="I207" s="11">
        <f>WEEKDAY([1]Dataset!$A207)</f>
        <v>3</v>
      </c>
      <c r="J207" s="12">
        <f>[1]Dataset!$D207-[1]Dataset!$C207</f>
        <v>-5</v>
      </c>
    </row>
    <row r="208" spans="1:10" x14ac:dyDescent="0.25">
      <c r="A208" s="5">
        <v>44328</v>
      </c>
      <c r="B208" s="6" t="s">
        <v>14</v>
      </c>
      <c r="C208" s="6">
        <v>5</v>
      </c>
      <c r="D208" s="6"/>
      <c r="E208" s="6" t="s">
        <v>15</v>
      </c>
      <c r="F208" s="6" t="s">
        <v>16</v>
      </c>
      <c r="G208" s="6" t="s">
        <v>17</v>
      </c>
      <c r="H208" s="6">
        <f>MONTH([1]Dataset!$A208)</f>
        <v>5</v>
      </c>
      <c r="I208" s="7">
        <f>WEEKDAY([1]Dataset!$A208)</f>
        <v>4</v>
      </c>
      <c r="J208" s="8">
        <f>[1]Dataset!$D208-[1]Dataset!$C208</f>
        <v>-5</v>
      </c>
    </row>
    <row r="209" spans="1:10" x14ac:dyDescent="0.25">
      <c r="A209" s="9">
        <v>44329</v>
      </c>
      <c r="B209" s="10" t="s">
        <v>24</v>
      </c>
      <c r="C209" s="10">
        <v>139.1</v>
      </c>
      <c r="D209" s="10"/>
      <c r="E209" s="10" t="s">
        <v>25</v>
      </c>
      <c r="F209" s="10" t="s">
        <v>20</v>
      </c>
      <c r="G209" s="10" t="s">
        <v>17</v>
      </c>
      <c r="H209" s="10">
        <f>MONTH([1]Dataset!$A209)</f>
        <v>5</v>
      </c>
      <c r="I209" s="11">
        <f>WEEKDAY([1]Dataset!$A209)</f>
        <v>5</v>
      </c>
      <c r="J209" s="12">
        <f>[1]Dataset!$D209-[1]Dataset!$C209</f>
        <v>-139.1</v>
      </c>
    </row>
    <row r="210" spans="1:10" x14ac:dyDescent="0.25">
      <c r="A210" s="5">
        <v>44329</v>
      </c>
      <c r="B210" s="6" t="s">
        <v>14</v>
      </c>
      <c r="C210" s="6">
        <v>5</v>
      </c>
      <c r="D210" s="6"/>
      <c r="E210" s="6" t="s">
        <v>15</v>
      </c>
      <c r="F210" s="6" t="s">
        <v>16</v>
      </c>
      <c r="G210" s="6" t="s">
        <v>17</v>
      </c>
      <c r="H210" s="6">
        <f>MONTH([1]Dataset!$A210)</f>
        <v>5</v>
      </c>
      <c r="I210" s="7">
        <f>WEEKDAY([1]Dataset!$A210)</f>
        <v>5</v>
      </c>
      <c r="J210" s="8">
        <f>[1]Dataset!$D210-[1]Dataset!$C210</f>
        <v>-5</v>
      </c>
    </row>
    <row r="211" spans="1:10" x14ac:dyDescent="0.25">
      <c r="A211" s="9">
        <v>44330</v>
      </c>
      <c r="B211" s="10" t="s">
        <v>14</v>
      </c>
      <c r="C211" s="10">
        <v>5</v>
      </c>
      <c r="D211" s="10"/>
      <c r="E211" s="10" t="s">
        <v>15</v>
      </c>
      <c r="F211" s="10" t="s">
        <v>16</v>
      </c>
      <c r="G211" s="10" t="s">
        <v>17</v>
      </c>
      <c r="H211" s="10">
        <f>MONTH([1]Dataset!$A211)</f>
        <v>5</v>
      </c>
      <c r="I211" s="11">
        <f>WEEKDAY([1]Dataset!$A211)</f>
        <v>6</v>
      </c>
      <c r="J211" s="12">
        <f>[1]Dataset!$D211-[1]Dataset!$C211</f>
        <v>-5</v>
      </c>
    </row>
    <row r="212" spans="1:10" x14ac:dyDescent="0.25">
      <c r="A212" s="5">
        <v>44330</v>
      </c>
      <c r="B212" s="6" t="s">
        <v>29</v>
      </c>
      <c r="C212" s="6">
        <v>43.9</v>
      </c>
      <c r="D212" s="6"/>
      <c r="E212" s="6" t="s">
        <v>30</v>
      </c>
      <c r="F212" s="6" t="s">
        <v>31</v>
      </c>
      <c r="G212" s="6" t="s">
        <v>17</v>
      </c>
      <c r="H212" s="6">
        <f>MONTH([1]Dataset!$A212)</f>
        <v>5</v>
      </c>
      <c r="I212" s="7">
        <f>WEEKDAY([1]Dataset!$A212)</f>
        <v>6</v>
      </c>
      <c r="J212" s="8">
        <f>[1]Dataset!$D212-[1]Dataset!$C212</f>
        <v>-43.9</v>
      </c>
    </row>
    <row r="213" spans="1:10" x14ac:dyDescent="0.25">
      <c r="A213" s="9">
        <v>44330</v>
      </c>
      <c r="B213" s="10" t="s">
        <v>32</v>
      </c>
      <c r="C213" s="10">
        <v>101.80000000000001</v>
      </c>
      <c r="D213" s="10"/>
      <c r="E213" s="10" t="s">
        <v>33</v>
      </c>
      <c r="F213" s="10" t="s">
        <v>31</v>
      </c>
      <c r="G213" s="10" t="s">
        <v>17</v>
      </c>
      <c r="H213" s="10">
        <f>MONTH([1]Dataset!$A213)</f>
        <v>5</v>
      </c>
      <c r="I213" s="11">
        <f>WEEKDAY([1]Dataset!$A213)</f>
        <v>6</v>
      </c>
      <c r="J213" s="12">
        <f>[1]Dataset!$D213-[1]Dataset!$C213</f>
        <v>-101.80000000000001</v>
      </c>
    </row>
    <row r="214" spans="1:10" x14ac:dyDescent="0.25">
      <c r="A214" s="5">
        <v>44330</v>
      </c>
      <c r="B214" s="6" t="s">
        <v>34</v>
      </c>
      <c r="C214" s="6">
        <v>55.9</v>
      </c>
      <c r="D214" s="6"/>
      <c r="E214" s="6" t="s">
        <v>35</v>
      </c>
      <c r="F214" s="6" t="s">
        <v>16</v>
      </c>
      <c r="G214" s="6" t="s">
        <v>17</v>
      </c>
      <c r="H214" s="6">
        <f>MONTH([1]Dataset!$A214)</f>
        <v>5</v>
      </c>
      <c r="I214" s="7">
        <f>WEEKDAY([1]Dataset!$A214)</f>
        <v>6</v>
      </c>
      <c r="J214" s="8">
        <f>[1]Dataset!$D214-[1]Dataset!$C214</f>
        <v>-55.9</v>
      </c>
    </row>
    <row r="215" spans="1:10" x14ac:dyDescent="0.25">
      <c r="A215" s="9">
        <v>44331</v>
      </c>
      <c r="B215" s="10" t="s">
        <v>36</v>
      </c>
      <c r="C215" s="10">
        <v>32</v>
      </c>
      <c r="D215" s="10"/>
      <c r="E215" s="10" t="s">
        <v>37</v>
      </c>
      <c r="F215" s="10" t="s">
        <v>23</v>
      </c>
      <c r="G215" s="10" t="s">
        <v>17</v>
      </c>
      <c r="H215" s="10">
        <f>MONTH([1]Dataset!$A215)</f>
        <v>5</v>
      </c>
      <c r="I215" s="11">
        <f>WEEKDAY([1]Dataset!$A215)</f>
        <v>7</v>
      </c>
      <c r="J215" s="12">
        <f>[1]Dataset!$D215-[1]Dataset!$C215</f>
        <v>-32</v>
      </c>
    </row>
    <row r="216" spans="1:10" x14ac:dyDescent="0.25">
      <c r="A216" s="5">
        <v>44332</v>
      </c>
      <c r="B216" s="6" t="s">
        <v>38</v>
      </c>
      <c r="C216" s="6"/>
      <c r="D216" s="6">
        <v>1000</v>
      </c>
      <c r="E216" s="6" t="s">
        <v>39</v>
      </c>
      <c r="F216" s="6" t="s">
        <v>40</v>
      </c>
      <c r="G216" s="6" t="s">
        <v>13</v>
      </c>
      <c r="H216" s="6">
        <f>MONTH([1]Dataset!$A216)</f>
        <v>5</v>
      </c>
      <c r="I216" s="7">
        <f>WEEKDAY([1]Dataset!$A216)</f>
        <v>1</v>
      </c>
      <c r="J216" s="8">
        <f>[1]Dataset!$D216-[1]Dataset!$C216</f>
        <v>1000</v>
      </c>
    </row>
    <row r="217" spans="1:10" x14ac:dyDescent="0.25">
      <c r="A217" s="9">
        <v>44332</v>
      </c>
      <c r="B217" s="10" t="s">
        <v>14</v>
      </c>
      <c r="C217" s="10">
        <v>5</v>
      </c>
      <c r="D217" s="10"/>
      <c r="E217" s="10" t="s">
        <v>15</v>
      </c>
      <c r="F217" s="10" t="s">
        <v>16</v>
      </c>
      <c r="G217" s="10" t="s">
        <v>17</v>
      </c>
      <c r="H217" s="10">
        <f>MONTH([1]Dataset!$A217)</f>
        <v>5</v>
      </c>
      <c r="I217" s="11">
        <f>WEEKDAY([1]Dataset!$A217)</f>
        <v>1</v>
      </c>
      <c r="J217" s="12">
        <f>[1]Dataset!$D217-[1]Dataset!$C217</f>
        <v>-5</v>
      </c>
    </row>
    <row r="218" spans="1:10" x14ac:dyDescent="0.25">
      <c r="A218" s="5">
        <v>44333</v>
      </c>
      <c r="B218" s="6" t="s">
        <v>14</v>
      </c>
      <c r="C218" s="6">
        <v>5</v>
      </c>
      <c r="D218" s="6"/>
      <c r="E218" s="6" t="s">
        <v>15</v>
      </c>
      <c r="F218" s="6" t="s">
        <v>16</v>
      </c>
      <c r="G218" s="6" t="s">
        <v>17</v>
      </c>
      <c r="H218" s="6">
        <f>MONTH([1]Dataset!$A218)</f>
        <v>5</v>
      </c>
      <c r="I218" s="7">
        <f>WEEKDAY([1]Dataset!$A218)</f>
        <v>2</v>
      </c>
      <c r="J218" s="8">
        <f>[1]Dataset!$D218-[1]Dataset!$C218</f>
        <v>-5</v>
      </c>
    </row>
    <row r="219" spans="1:10" x14ac:dyDescent="0.25">
      <c r="A219" s="9">
        <v>44333</v>
      </c>
      <c r="B219" s="10" t="s">
        <v>55</v>
      </c>
      <c r="C219" s="10">
        <v>75</v>
      </c>
      <c r="D219" s="10"/>
      <c r="E219" s="10" t="s">
        <v>56</v>
      </c>
      <c r="F219" s="10" t="s">
        <v>57</v>
      </c>
      <c r="G219" s="10" t="s">
        <v>17</v>
      </c>
      <c r="H219" s="10">
        <f>MONTH([1]Dataset!$A219)</f>
        <v>5</v>
      </c>
      <c r="I219" s="11">
        <f>WEEKDAY([1]Dataset!$A219)</f>
        <v>2</v>
      </c>
      <c r="J219" s="12">
        <f>[1]Dataset!$D219-[1]Dataset!$C219</f>
        <v>-75</v>
      </c>
    </row>
    <row r="220" spans="1:10" x14ac:dyDescent="0.25">
      <c r="A220" s="5">
        <v>44333</v>
      </c>
      <c r="B220" s="6" t="s">
        <v>42</v>
      </c>
      <c r="C220" s="6">
        <v>40</v>
      </c>
      <c r="D220" s="6"/>
      <c r="E220" s="6" t="s">
        <v>42</v>
      </c>
      <c r="F220" s="6" t="s">
        <v>20</v>
      </c>
      <c r="G220" s="6" t="s">
        <v>17</v>
      </c>
      <c r="H220" s="6">
        <f>MONTH([1]Dataset!$A220)</f>
        <v>5</v>
      </c>
      <c r="I220" s="7">
        <f>WEEKDAY([1]Dataset!$A220)</f>
        <v>2</v>
      </c>
      <c r="J220" s="8">
        <f>[1]Dataset!$D220-[1]Dataset!$C220</f>
        <v>-40</v>
      </c>
    </row>
    <row r="221" spans="1:10" x14ac:dyDescent="0.25">
      <c r="A221" s="9">
        <v>44334</v>
      </c>
      <c r="B221" s="10" t="s">
        <v>43</v>
      </c>
      <c r="C221" s="10">
        <v>49</v>
      </c>
      <c r="D221" s="10"/>
      <c r="E221" s="10" t="s">
        <v>44</v>
      </c>
      <c r="F221" s="10" t="s">
        <v>31</v>
      </c>
      <c r="G221" s="10" t="s">
        <v>17</v>
      </c>
      <c r="H221" s="10">
        <f>MONTH([1]Dataset!$A221)</f>
        <v>5</v>
      </c>
      <c r="I221" s="11">
        <f>WEEKDAY([1]Dataset!$A221)</f>
        <v>3</v>
      </c>
      <c r="J221" s="12">
        <f>[1]Dataset!$D221-[1]Dataset!$C221</f>
        <v>-49</v>
      </c>
    </row>
    <row r="222" spans="1:10" x14ac:dyDescent="0.25">
      <c r="A222" s="5">
        <v>44334</v>
      </c>
      <c r="B222" s="6" t="s">
        <v>45</v>
      </c>
      <c r="C222" s="6">
        <v>35</v>
      </c>
      <c r="D222" s="6"/>
      <c r="E222" s="6" t="s">
        <v>30</v>
      </c>
      <c r="F222" s="6" t="s">
        <v>31</v>
      </c>
      <c r="G222" s="6" t="s">
        <v>17</v>
      </c>
      <c r="H222" s="6">
        <f>MONTH([1]Dataset!$A222)</f>
        <v>5</v>
      </c>
      <c r="I222" s="7">
        <f>WEEKDAY([1]Dataset!$A222)</f>
        <v>3</v>
      </c>
      <c r="J222" s="8">
        <f>[1]Dataset!$D222-[1]Dataset!$C222</f>
        <v>-35</v>
      </c>
    </row>
    <row r="223" spans="1:10" x14ac:dyDescent="0.25">
      <c r="A223" s="9">
        <v>44334</v>
      </c>
      <c r="B223" s="10" t="s">
        <v>14</v>
      </c>
      <c r="C223" s="10">
        <v>5</v>
      </c>
      <c r="D223" s="10"/>
      <c r="E223" s="10" t="s">
        <v>15</v>
      </c>
      <c r="F223" s="10" t="s">
        <v>16</v>
      </c>
      <c r="G223" s="10" t="s">
        <v>17</v>
      </c>
      <c r="H223" s="10">
        <f>MONTH([1]Dataset!$A223)</f>
        <v>5</v>
      </c>
      <c r="I223" s="11">
        <f>WEEKDAY([1]Dataset!$A223)</f>
        <v>3</v>
      </c>
      <c r="J223" s="12">
        <f>[1]Dataset!$D223-[1]Dataset!$C223</f>
        <v>-5</v>
      </c>
    </row>
    <row r="224" spans="1:10" x14ac:dyDescent="0.25">
      <c r="A224" s="5">
        <v>44335</v>
      </c>
      <c r="B224" s="6" t="s">
        <v>14</v>
      </c>
      <c r="C224" s="6">
        <v>5</v>
      </c>
      <c r="D224" s="6"/>
      <c r="E224" s="6" t="s">
        <v>15</v>
      </c>
      <c r="F224" s="6" t="s">
        <v>16</v>
      </c>
      <c r="G224" s="6" t="s">
        <v>17</v>
      </c>
      <c r="H224" s="6">
        <f>MONTH([1]Dataset!$A224)</f>
        <v>5</v>
      </c>
      <c r="I224" s="7">
        <f>WEEKDAY([1]Dataset!$A224)</f>
        <v>4</v>
      </c>
      <c r="J224" s="8">
        <f>[1]Dataset!$D224-[1]Dataset!$C224</f>
        <v>-5</v>
      </c>
    </row>
    <row r="225" spans="1:10" x14ac:dyDescent="0.25">
      <c r="A225" s="9">
        <v>44336</v>
      </c>
      <c r="B225" s="10" t="s">
        <v>14</v>
      </c>
      <c r="C225" s="10">
        <v>5</v>
      </c>
      <c r="D225" s="10"/>
      <c r="E225" s="10" t="s">
        <v>15</v>
      </c>
      <c r="F225" s="10" t="s">
        <v>16</v>
      </c>
      <c r="G225" s="10" t="s">
        <v>17</v>
      </c>
      <c r="H225" s="10">
        <f>MONTH([1]Dataset!$A225)</f>
        <v>5</v>
      </c>
      <c r="I225" s="11">
        <f>WEEKDAY([1]Dataset!$A225)</f>
        <v>5</v>
      </c>
      <c r="J225" s="12">
        <f>[1]Dataset!$D225-[1]Dataset!$C225</f>
        <v>-5</v>
      </c>
    </row>
    <row r="226" spans="1:10" x14ac:dyDescent="0.25">
      <c r="A226" s="5">
        <v>44336</v>
      </c>
      <c r="B226" s="6" t="s">
        <v>24</v>
      </c>
      <c r="C226" s="6">
        <v>174</v>
      </c>
      <c r="D226" s="6"/>
      <c r="E226" s="6" t="s">
        <v>25</v>
      </c>
      <c r="F226" s="6" t="s">
        <v>20</v>
      </c>
      <c r="G226" s="6" t="s">
        <v>17</v>
      </c>
      <c r="H226" s="6">
        <f>MONTH([1]Dataset!$A226)</f>
        <v>5</v>
      </c>
      <c r="I226" s="7">
        <f>WEEKDAY([1]Dataset!$A226)</f>
        <v>5</v>
      </c>
      <c r="J226" s="8">
        <f>[1]Dataset!$D226-[1]Dataset!$C226</f>
        <v>-174</v>
      </c>
    </row>
    <row r="227" spans="1:10" x14ac:dyDescent="0.25">
      <c r="A227" s="9">
        <v>44337</v>
      </c>
      <c r="B227" s="10" t="s">
        <v>46</v>
      </c>
      <c r="C227" s="10">
        <v>41.1</v>
      </c>
      <c r="D227" s="10"/>
      <c r="E227" s="10" t="s">
        <v>35</v>
      </c>
      <c r="F227" s="10" t="s">
        <v>16</v>
      </c>
      <c r="G227" s="10" t="s">
        <v>17</v>
      </c>
      <c r="H227" s="10">
        <f>MONTH([1]Dataset!$A227)</f>
        <v>5</v>
      </c>
      <c r="I227" s="11">
        <f>WEEKDAY([1]Dataset!$A227)</f>
        <v>6</v>
      </c>
      <c r="J227" s="12">
        <f>[1]Dataset!$D227-[1]Dataset!$C227</f>
        <v>-41.1</v>
      </c>
    </row>
    <row r="228" spans="1:10" x14ac:dyDescent="0.25">
      <c r="A228" s="5">
        <v>44338</v>
      </c>
      <c r="B228" s="6" t="s">
        <v>47</v>
      </c>
      <c r="C228" s="6">
        <v>16.2</v>
      </c>
      <c r="D228" s="6"/>
      <c r="E228" s="6" t="s">
        <v>35</v>
      </c>
      <c r="F228" s="6" t="s">
        <v>16</v>
      </c>
      <c r="G228" s="6" t="s">
        <v>17</v>
      </c>
      <c r="H228" s="6">
        <f>MONTH([1]Dataset!$A228)</f>
        <v>5</v>
      </c>
      <c r="I228" s="7">
        <f>WEEKDAY([1]Dataset!$A228)</f>
        <v>7</v>
      </c>
      <c r="J228" s="8">
        <f>[1]Dataset!$D228-[1]Dataset!$C228</f>
        <v>-16.2</v>
      </c>
    </row>
    <row r="229" spans="1:10" x14ac:dyDescent="0.25">
      <c r="A229" s="9">
        <v>44339</v>
      </c>
      <c r="B229" s="10" t="s">
        <v>48</v>
      </c>
      <c r="C229" s="10">
        <v>55</v>
      </c>
      <c r="D229" s="10"/>
      <c r="E229" s="10" t="s">
        <v>49</v>
      </c>
      <c r="F229" s="10" t="s">
        <v>50</v>
      </c>
      <c r="G229" s="10" t="s">
        <v>17</v>
      </c>
      <c r="H229" s="10">
        <f>MONTH([1]Dataset!$A229)</f>
        <v>5</v>
      </c>
      <c r="I229" s="11">
        <f>WEEKDAY([1]Dataset!$A229)</f>
        <v>1</v>
      </c>
      <c r="J229" s="12">
        <f>[1]Dataset!$D229-[1]Dataset!$C229</f>
        <v>-55</v>
      </c>
    </row>
    <row r="230" spans="1:10" x14ac:dyDescent="0.25">
      <c r="A230" s="5">
        <v>44339</v>
      </c>
      <c r="B230" s="6" t="s">
        <v>28</v>
      </c>
      <c r="C230" s="6">
        <v>67</v>
      </c>
      <c r="D230" s="6"/>
      <c r="E230" s="6" t="s">
        <v>51</v>
      </c>
      <c r="F230" s="6" t="s">
        <v>23</v>
      </c>
      <c r="G230" s="6" t="s">
        <v>17</v>
      </c>
      <c r="H230" s="6">
        <f>MONTH([1]Dataset!$A230)</f>
        <v>5</v>
      </c>
      <c r="I230" s="7">
        <f>WEEKDAY([1]Dataset!$A230)</f>
        <v>1</v>
      </c>
      <c r="J230" s="8">
        <f>[1]Dataset!$D230-[1]Dataset!$C230</f>
        <v>-67</v>
      </c>
    </row>
    <row r="231" spans="1:10" x14ac:dyDescent="0.25">
      <c r="A231" s="9">
        <v>44339</v>
      </c>
      <c r="B231" s="10" t="s">
        <v>14</v>
      </c>
      <c r="C231" s="10">
        <v>5</v>
      </c>
      <c r="D231" s="10"/>
      <c r="E231" s="10" t="s">
        <v>15</v>
      </c>
      <c r="F231" s="10" t="s">
        <v>16</v>
      </c>
      <c r="G231" s="10" t="s">
        <v>17</v>
      </c>
      <c r="H231" s="10">
        <f>MONTH([1]Dataset!$A231)</f>
        <v>5</v>
      </c>
      <c r="I231" s="11">
        <f>WEEKDAY([1]Dataset!$A231)</f>
        <v>1</v>
      </c>
      <c r="J231" s="12">
        <f>[1]Dataset!$D231-[1]Dataset!$C231</f>
        <v>-5</v>
      </c>
    </row>
    <row r="232" spans="1:10" x14ac:dyDescent="0.25">
      <c r="A232" s="5">
        <v>44340</v>
      </c>
      <c r="B232" s="6" t="s">
        <v>14</v>
      </c>
      <c r="C232" s="6">
        <v>5</v>
      </c>
      <c r="D232" s="6"/>
      <c r="E232" s="6" t="s">
        <v>15</v>
      </c>
      <c r="F232" s="6" t="s">
        <v>16</v>
      </c>
      <c r="G232" s="6" t="s">
        <v>17</v>
      </c>
      <c r="H232" s="6">
        <f>MONTH([1]Dataset!$A232)</f>
        <v>5</v>
      </c>
      <c r="I232" s="7">
        <f>WEEKDAY([1]Dataset!$A232)</f>
        <v>2</v>
      </c>
      <c r="J232" s="8">
        <f>[1]Dataset!$D232-[1]Dataset!$C232</f>
        <v>-5</v>
      </c>
    </row>
    <row r="233" spans="1:10" x14ac:dyDescent="0.25">
      <c r="A233" s="9">
        <v>44341</v>
      </c>
      <c r="B233" s="10" t="s">
        <v>14</v>
      </c>
      <c r="C233" s="10">
        <v>5</v>
      </c>
      <c r="D233" s="10"/>
      <c r="E233" s="10" t="s">
        <v>15</v>
      </c>
      <c r="F233" s="10" t="s">
        <v>16</v>
      </c>
      <c r="G233" s="10" t="s">
        <v>17</v>
      </c>
      <c r="H233" s="10">
        <f>MONTH([1]Dataset!$A233)</f>
        <v>5</v>
      </c>
      <c r="I233" s="11">
        <f>WEEKDAY([1]Dataset!$A233)</f>
        <v>3</v>
      </c>
      <c r="J233" s="12">
        <f>[1]Dataset!$D233-[1]Dataset!$C233</f>
        <v>-5</v>
      </c>
    </row>
    <row r="234" spans="1:10" x14ac:dyDescent="0.25">
      <c r="A234" s="5">
        <v>44342</v>
      </c>
      <c r="B234" s="6" t="s">
        <v>14</v>
      </c>
      <c r="C234" s="6">
        <v>5</v>
      </c>
      <c r="D234" s="6"/>
      <c r="E234" s="6" t="s">
        <v>15</v>
      </c>
      <c r="F234" s="6" t="s">
        <v>16</v>
      </c>
      <c r="G234" s="6" t="s">
        <v>17</v>
      </c>
      <c r="H234" s="6">
        <f>MONTH([1]Dataset!$A234)</f>
        <v>5</v>
      </c>
      <c r="I234" s="7">
        <f>WEEKDAY([1]Dataset!$A234)</f>
        <v>4</v>
      </c>
      <c r="J234" s="8">
        <f>[1]Dataset!$D234-[1]Dataset!$C234</f>
        <v>-5</v>
      </c>
    </row>
    <row r="235" spans="1:10" x14ac:dyDescent="0.25">
      <c r="A235" s="9">
        <v>44343</v>
      </c>
      <c r="B235" s="10" t="s">
        <v>14</v>
      </c>
      <c r="C235" s="10">
        <v>5</v>
      </c>
      <c r="D235" s="10"/>
      <c r="E235" s="10" t="s">
        <v>15</v>
      </c>
      <c r="F235" s="10" t="s">
        <v>16</v>
      </c>
      <c r="G235" s="10" t="s">
        <v>17</v>
      </c>
      <c r="H235" s="10">
        <f>MONTH([1]Dataset!$A235)</f>
        <v>5</v>
      </c>
      <c r="I235" s="11">
        <f>WEEKDAY([1]Dataset!$A235)</f>
        <v>5</v>
      </c>
      <c r="J235" s="12">
        <f>[1]Dataset!$D235-[1]Dataset!$C235</f>
        <v>-5</v>
      </c>
    </row>
    <row r="236" spans="1:10" x14ac:dyDescent="0.25">
      <c r="A236" s="5">
        <v>44343</v>
      </c>
      <c r="B236" s="6" t="s">
        <v>24</v>
      </c>
      <c r="C236" s="6">
        <v>165.8</v>
      </c>
      <c r="D236" s="6"/>
      <c r="E236" s="6" t="s">
        <v>25</v>
      </c>
      <c r="F236" s="6" t="s">
        <v>20</v>
      </c>
      <c r="G236" s="6" t="s">
        <v>17</v>
      </c>
      <c r="H236" s="6">
        <f>MONTH([1]Dataset!$A236)</f>
        <v>5</v>
      </c>
      <c r="I236" s="7">
        <f>WEEKDAY([1]Dataset!$A236)</f>
        <v>5</v>
      </c>
      <c r="J236" s="8">
        <f>[1]Dataset!$D236-[1]Dataset!$C236</f>
        <v>-165.8</v>
      </c>
    </row>
    <row r="237" spans="1:10" x14ac:dyDescent="0.25">
      <c r="A237" s="9">
        <v>44344</v>
      </c>
      <c r="B237" s="10" t="s">
        <v>52</v>
      </c>
      <c r="C237" s="10">
        <v>128.80000000000001</v>
      </c>
      <c r="D237" s="10"/>
      <c r="E237" s="10" t="s">
        <v>33</v>
      </c>
      <c r="F237" s="10" t="s">
        <v>31</v>
      </c>
      <c r="G237" s="10" t="s">
        <v>17</v>
      </c>
      <c r="H237" s="10">
        <f>MONTH([1]Dataset!$A237)</f>
        <v>5</v>
      </c>
      <c r="I237" s="11">
        <f>WEEKDAY([1]Dataset!$A237)</f>
        <v>6</v>
      </c>
      <c r="J237" s="12">
        <f>[1]Dataset!$D237-[1]Dataset!$C237</f>
        <v>-128.80000000000001</v>
      </c>
    </row>
    <row r="238" spans="1:10" x14ac:dyDescent="0.25">
      <c r="A238" s="5">
        <v>44344</v>
      </c>
      <c r="B238" s="6" t="s">
        <v>61</v>
      </c>
      <c r="C238" s="6">
        <v>235</v>
      </c>
      <c r="D238" s="6"/>
      <c r="E238" s="6" t="s">
        <v>62</v>
      </c>
      <c r="F238" s="6" t="s">
        <v>31</v>
      </c>
      <c r="G238" s="6" t="s">
        <v>17</v>
      </c>
      <c r="H238" s="6">
        <f>MONTH([1]Dataset!$A238)</f>
        <v>5</v>
      </c>
      <c r="I238" s="7">
        <f>WEEKDAY([1]Dataset!$A238)</f>
        <v>6</v>
      </c>
      <c r="J238" s="8">
        <f>[1]Dataset!$D238-[1]Dataset!$C238</f>
        <v>-235</v>
      </c>
    </row>
    <row r="239" spans="1:10" x14ac:dyDescent="0.25">
      <c r="A239" s="9">
        <v>44345</v>
      </c>
      <c r="B239" s="10" t="s">
        <v>32</v>
      </c>
      <c r="C239" s="10">
        <v>149.19999999999999</v>
      </c>
      <c r="D239" s="10"/>
      <c r="E239" s="10" t="s">
        <v>33</v>
      </c>
      <c r="F239" s="10" t="s">
        <v>31</v>
      </c>
      <c r="G239" s="10" t="s">
        <v>17</v>
      </c>
      <c r="H239" s="10">
        <f>MONTH([1]Dataset!$A239)</f>
        <v>5</v>
      </c>
      <c r="I239" s="11">
        <f>WEEKDAY([1]Dataset!$A239)</f>
        <v>7</v>
      </c>
      <c r="J239" s="12">
        <f>[1]Dataset!$D239-[1]Dataset!$C239</f>
        <v>-149.19999999999999</v>
      </c>
    </row>
    <row r="240" spans="1:10" x14ac:dyDescent="0.25">
      <c r="A240" s="5">
        <v>44345</v>
      </c>
      <c r="B240" s="6" t="s">
        <v>36</v>
      </c>
      <c r="C240" s="6">
        <v>27.200000000000003</v>
      </c>
      <c r="D240" s="6"/>
      <c r="E240" s="6" t="s">
        <v>37</v>
      </c>
      <c r="F240" s="6" t="s">
        <v>23</v>
      </c>
      <c r="G240" s="6" t="s">
        <v>17</v>
      </c>
      <c r="H240" s="6">
        <f>MONTH([1]Dataset!$A240)</f>
        <v>5</v>
      </c>
      <c r="I240" s="7">
        <f>WEEKDAY([1]Dataset!$A240)</f>
        <v>7</v>
      </c>
      <c r="J240" s="8">
        <f>[1]Dataset!$D240-[1]Dataset!$C240</f>
        <v>-27.200000000000003</v>
      </c>
    </row>
    <row r="241" spans="1:10" x14ac:dyDescent="0.25">
      <c r="A241" s="9">
        <v>44347</v>
      </c>
      <c r="B241" s="10" t="s">
        <v>59</v>
      </c>
      <c r="C241" s="10">
        <v>15</v>
      </c>
      <c r="D241" s="10"/>
      <c r="E241" s="10" t="s">
        <v>35</v>
      </c>
      <c r="F241" s="10" t="s">
        <v>16</v>
      </c>
      <c r="G241" s="10" t="s">
        <v>17</v>
      </c>
      <c r="H241" s="10">
        <f>MONTH([1]Dataset!$A241)</f>
        <v>5</v>
      </c>
      <c r="I241" s="11">
        <f>WEEKDAY([1]Dataset!$A241)</f>
        <v>2</v>
      </c>
      <c r="J241" s="12">
        <f>[1]Dataset!$D241-[1]Dataset!$C241</f>
        <v>-15</v>
      </c>
    </row>
    <row r="242" spans="1:10" x14ac:dyDescent="0.25">
      <c r="A242" s="5">
        <v>44346</v>
      </c>
      <c r="B242" s="6" t="s">
        <v>14</v>
      </c>
      <c r="C242" s="6">
        <v>5</v>
      </c>
      <c r="D242" s="6"/>
      <c r="E242" s="6" t="s">
        <v>15</v>
      </c>
      <c r="F242" s="6" t="s">
        <v>16</v>
      </c>
      <c r="G242" s="6" t="s">
        <v>17</v>
      </c>
      <c r="H242" s="6">
        <f>MONTH([1]Dataset!$A242)</f>
        <v>5</v>
      </c>
      <c r="I242" s="7">
        <f>WEEKDAY([1]Dataset!$A242)</f>
        <v>1</v>
      </c>
      <c r="J242" s="8">
        <f>[1]Dataset!$D242-[1]Dataset!$C242</f>
        <v>-5</v>
      </c>
    </row>
    <row r="243" spans="1:10" x14ac:dyDescent="0.25">
      <c r="A243" s="9">
        <v>44347</v>
      </c>
      <c r="B243" s="10" t="s">
        <v>14</v>
      </c>
      <c r="C243" s="10">
        <v>5</v>
      </c>
      <c r="D243" s="10"/>
      <c r="E243" s="10" t="s">
        <v>15</v>
      </c>
      <c r="F243" s="10" t="s">
        <v>16</v>
      </c>
      <c r="G243" s="10" t="s">
        <v>17</v>
      </c>
      <c r="H243" s="10">
        <f>MONTH([1]Dataset!$A243)</f>
        <v>5</v>
      </c>
      <c r="I243" s="11">
        <f>WEEKDAY([1]Dataset!$A243)</f>
        <v>2</v>
      </c>
      <c r="J243" s="12">
        <f>[1]Dataset!$D243-[1]Dataset!$C243</f>
        <v>-5</v>
      </c>
    </row>
    <row r="244" spans="1:10" x14ac:dyDescent="0.25">
      <c r="A244" s="5">
        <v>44348</v>
      </c>
      <c r="B244" s="6" t="s">
        <v>10</v>
      </c>
      <c r="C244" s="6"/>
      <c r="D244" s="6">
        <v>5000</v>
      </c>
      <c r="E244" s="6" t="s">
        <v>11</v>
      </c>
      <c r="F244" s="6" t="s">
        <v>12</v>
      </c>
      <c r="G244" s="6" t="s">
        <v>13</v>
      </c>
      <c r="H244" s="6">
        <f>MONTH([1]Dataset!$A244)</f>
        <v>6</v>
      </c>
      <c r="I244" s="7">
        <f>WEEKDAY([1]Dataset!$A244)</f>
        <v>3</v>
      </c>
      <c r="J244" s="8">
        <f>[1]Dataset!$D244-[1]Dataset!$C244</f>
        <v>5000</v>
      </c>
    </row>
    <row r="245" spans="1:10" x14ac:dyDescent="0.25">
      <c r="A245" s="9">
        <v>44350</v>
      </c>
      <c r="B245" s="10" t="s">
        <v>14</v>
      </c>
      <c r="C245" s="10">
        <v>5</v>
      </c>
      <c r="D245" s="10"/>
      <c r="E245" s="10" t="s">
        <v>15</v>
      </c>
      <c r="F245" s="10" t="s">
        <v>16</v>
      </c>
      <c r="G245" s="10" t="s">
        <v>17</v>
      </c>
      <c r="H245" s="10">
        <f>MONTH([1]Dataset!$A245)</f>
        <v>6</v>
      </c>
      <c r="I245" s="11">
        <f>WEEKDAY([1]Dataset!$A245)</f>
        <v>5</v>
      </c>
      <c r="J245" s="12">
        <f>[1]Dataset!$D245-[1]Dataset!$C245</f>
        <v>-5</v>
      </c>
    </row>
    <row r="246" spans="1:10" x14ac:dyDescent="0.25">
      <c r="A246" s="5">
        <v>44350</v>
      </c>
      <c r="B246" s="6" t="s">
        <v>18</v>
      </c>
      <c r="C246" s="6">
        <v>900</v>
      </c>
      <c r="D246" s="6"/>
      <c r="E246" s="6" t="s">
        <v>19</v>
      </c>
      <c r="F246" s="6" t="s">
        <v>20</v>
      </c>
      <c r="G246" s="6" t="s">
        <v>17</v>
      </c>
      <c r="H246" s="6">
        <f>MONTH([1]Dataset!$A246)</f>
        <v>6</v>
      </c>
      <c r="I246" s="7">
        <f>WEEKDAY([1]Dataset!$A246)</f>
        <v>5</v>
      </c>
      <c r="J246" s="8">
        <f>[1]Dataset!$D246-[1]Dataset!$C246</f>
        <v>-900</v>
      </c>
    </row>
    <row r="247" spans="1:10" x14ac:dyDescent="0.25">
      <c r="A247" s="9">
        <v>44350</v>
      </c>
      <c r="B247" s="10" t="s">
        <v>21</v>
      </c>
      <c r="C247" s="10">
        <v>150</v>
      </c>
      <c r="D247" s="10"/>
      <c r="E247" s="10" t="s">
        <v>22</v>
      </c>
      <c r="F247" s="10" t="s">
        <v>23</v>
      </c>
      <c r="G247" s="10" t="s">
        <v>17</v>
      </c>
      <c r="H247" s="10">
        <f>MONTH([1]Dataset!$A247)</f>
        <v>6</v>
      </c>
      <c r="I247" s="11">
        <f>WEEKDAY([1]Dataset!$A247)</f>
        <v>5</v>
      </c>
      <c r="J247" s="12">
        <f>[1]Dataset!$D247-[1]Dataset!$C247</f>
        <v>-150</v>
      </c>
    </row>
    <row r="248" spans="1:10" x14ac:dyDescent="0.25">
      <c r="A248" s="5">
        <v>44350</v>
      </c>
      <c r="B248" s="6" t="s">
        <v>14</v>
      </c>
      <c r="C248" s="6">
        <v>5</v>
      </c>
      <c r="D248" s="6"/>
      <c r="E248" s="6" t="s">
        <v>15</v>
      </c>
      <c r="F248" s="6" t="s">
        <v>16</v>
      </c>
      <c r="G248" s="6" t="s">
        <v>17</v>
      </c>
      <c r="H248" s="6">
        <f>MONTH([1]Dataset!$A248)</f>
        <v>6</v>
      </c>
      <c r="I248" s="7">
        <f>WEEKDAY([1]Dataset!$A248)</f>
        <v>5</v>
      </c>
      <c r="J248" s="8">
        <f>[1]Dataset!$D248-[1]Dataset!$C248</f>
        <v>-5</v>
      </c>
    </row>
    <row r="249" spans="1:10" x14ac:dyDescent="0.25">
      <c r="A249" s="9">
        <v>44351</v>
      </c>
      <c r="B249" s="10" t="s">
        <v>14</v>
      </c>
      <c r="C249" s="10">
        <v>5</v>
      </c>
      <c r="D249" s="10"/>
      <c r="E249" s="10" t="s">
        <v>15</v>
      </c>
      <c r="F249" s="10" t="s">
        <v>16</v>
      </c>
      <c r="G249" s="10" t="s">
        <v>17</v>
      </c>
      <c r="H249" s="10">
        <f>MONTH([1]Dataset!$A249)</f>
        <v>6</v>
      </c>
      <c r="I249" s="11">
        <f>WEEKDAY([1]Dataset!$A249)</f>
        <v>6</v>
      </c>
      <c r="J249" s="12">
        <f>[1]Dataset!$D249-[1]Dataset!$C249</f>
        <v>-5</v>
      </c>
    </row>
    <row r="250" spans="1:10" x14ac:dyDescent="0.25">
      <c r="A250" s="5">
        <v>44352</v>
      </c>
      <c r="B250" s="6" t="s">
        <v>14</v>
      </c>
      <c r="C250" s="6">
        <v>5</v>
      </c>
      <c r="D250" s="6"/>
      <c r="E250" s="6" t="s">
        <v>15</v>
      </c>
      <c r="F250" s="6" t="s">
        <v>16</v>
      </c>
      <c r="G250" s="6" t="s">
        <v>17</v>
      </c>
      <c r="H250" s="6">
        <f>MONTH([1]Dataset!$A250)</f>
        <v>6</v>
      </c>
      <c r="I250" s="7">
        <f>WEEKDAY([1]Dataset!$A250)</f>
        <v>7</v>
      </c>
      <c r="J250" s="8">
        <f>[1]Dataset!$D250-[1]Dataset!$C250</f>
        <v>-5</v>
      </c>
    </row>
    <row r="251" spans="1:10" x14ac:dyDescent="0.25">
      <c r="A251" s="9">
        <v>44353</v>
      </c>
      <c r="B251" s="10" t="s">
        <v>14</v>
      </c>
      <c r="C251" s="10">
        <v>5</v>
      </c>
      <c r="D251" s="10"/>
      <c r="E251" s="10" t="s">
        <v>15</v>
      </c>
      <c r="F251" s="10" t="s">
        <v>16</v>
      </c>
      <c r="G251" s="10" t="s">
        <v>17</v>
      </c>
      <c r="H251" s="10">
        <f>MONTH([1]Dataset!$A251)</f>
        <v>6</v>
      </c>
      <c r="I251" s="11">
        <f>WEEKDAY([1]Dataset!$A251)</f>
        <v>1</v>
      </c>
      <c r="J251" s="12">
        <f>[1]Dataset!$D251-[1]Dataset!$C251</f>
        <v>-5</v>
      </c>
    </row>
    <row r="252" spans="1:10" x14ac:dyDescent="0.25">
      <c r="A252" s="5">
        <v>44353</v>
      </c>
      <c r="B252" s="6" t="s">
        <v>24</v>
      </c>
      <c r="C252" s="6">
        <v>119</v>
      </c>
      <c r="D252" s="6"/>
      <c r="E252" s="6" t="s">
        <v>25</v>
      </c>
      <c r="F252" s="6" t="s">
        <v>20</v>
      </c>
      <c r="G252" s="6" t="s">
        <v>17</v>
      </c>
      <c r="H252" s="6">
        <f>MONTH([1]Dataset!$A252)</f>
        <v>6</v>
      </c>
      <c r="I252" s="7">
        <f>WEEKDAY([1]Dataset!$A252)</f>
        <v>1</v>
      </c>
      <c r="J252" s="8">
        <f>[1]Dataset!$D252-[1]Dataset!$C252</f>
        <v>-119</v>
      </c>
    </row>
    <row r="253" spans="1:10" x14ac:dyDescent="0.25">
      <c r="A253" s="9">
        <v>44356</v>
      </c>
      <c r="B253" s="10" t="s">
        <v>26</v>
      </c>
      <c r="C253" s="10">
        <v>55</v>
      </c>
      <c r="D253" s="10"/>
      <c r="E253" s="10" t="s">
        <v>27</v>
      </c>
      <c r="F253" s="10" t="s">
        <v>20</v>
      </c>
      <c r="G253" s="10" t="s">
        <v>17</v>
      </c>
      <c r="H253" s="10">
        <f>MONTH([1]Dataset!$A253)</f>
        <v>6</v>
      </c>
      <c r="I253" s="11">
        <f>WEEKDAY([1]Dataset!$A253)</f>
        <v>4</v>
      </c>
      <c r="J253" s="12">
        <f>[1]Dataset!$D253-[1]Dataset!$C253</f>
        <v>-55</v>
      </c>
    </row>
    <row r="254" spans="1:10" x14ac:dyDescent="0.25">
      <c r="A254" s="5">
        <v>44356</v>
      </c>
      <c r="B254" s="6" t="s">
        <v>14</v>
      </c>
      <c r="C254" s="6">
        <v>5</v>
      </c>
      <c r="D254" s="6"/>
      <c r="E254" s="6" t="s">
        <v>15</v>
      </c>
      <c r="F254" s="6" t="s">
        <v>16</v>
      </c>
      <c r="G254" s="6" t="s">
        <v>17</v>
      </c>
      <c r="H254" s="6">
        <f>MONTH([1]Dataset!$A254)</f>
        <v>6</v>
      </c>
      <c r="I254" s="7">
        <f>WEEKDAY([1]Dataset!$A254)</f>
        <v>4</v>
      </c>
      <c r="J254" s="8">
        <f>[1]Dataset!$D254-[1]Dataset!$C254</f>
        <v>-5</v>
      </c>
    </row>
    <row r="255" spans="1:10" x14ac:dyDescent="0.25">
      <c r="A255" s="9">
        <v>44357</v>
      </c>
      <c r="B255" s="10" t="s">
        <v>14</v>
      </c>
      <c r="C255" s="10">
        <v>5</v>
      </c>
      <c r="D255" s="10"/>
      <c r="E255" s="10" t="s">
        <v>15</v>
      </c>
      <c r="F255" s="10" t="s">
        <v>16</v>
      </c>
      <c r="G255" s="10" t="s">
        <v>17</v>
      </c>
      <c r="H255" s="10">
        <f>MONTH([1]Dataset!$A255)</f>
        <v>6</v>
      </c>
      <c r="I255" s="11">
        <f>WEEKDAY([1]Dataset!$A255)</f>
        <v>5</v>
      </c>
      <c r="J255" s="12">
        <f>[1]Dataset!$D255-[1]Dataset!$C255</f>
        <v>-5</v>
      </c>
    </row>
    <row r="256" spans="1:10" x14ac:dyDescent="0.25">
      <c r="A256" s="5">
        <v>44358</v>
      </c>
      <c r="B256" s="6" t="s">
        <v>28</v>
      </c>
      <c r="C256" s="6">
        <v>82.1</v>
      </c>
      <c r="D256" s="6"/>
      <c r="E256" s="6" t="s">
        <v>51</v>
      </c>
      <c r="F256" s="6" t="s">
        <v>23</v>
      </c>
      <c r="G256" s="6" t="s">
        <v>17</v>
      </c>
      <c r="H256" s="6">
        <f>MONTH([1]Dataset!$A256)</f>
        <v>6</v>
      </c>
      <c r="I256" s="7">
        <f>WEEKDAY([1]Dataset!$A256)</f>
        <v>6</v>
      </c>
      <c r="J256" s="8">
        <f>[1]Dataset!$D256-[1]Dataset!$C256</f>
        <v>-82.1</v>
      </c>
    </row>
    <row r="257" spans="1:10" x14ac:dyDescent="0.25">
      <c r="A257" s="9">
        <v>44358</v>
      </c>
      <c r="B257" s="10" t="s">
        <v>14</v>
      </c>
      <c r="C257" s="10">
        <v>5</v>
      </c>
      <c r="D257" s="10"/>
      <c r="E257" s="10" t="s">
        <v>15</v>
      </c>
      <c r="F257" s="10" t="s">
        <v>16</v>
      </c>
      <c r="G257" s="10" t="s">
        <v>17</v>
      </c>
      <c r="H257" s="10">
        <f>MONTH([1]Dataset!$A257)</f>
        <v>6</v>
      </c>
      <c r="I257" s="11">
        <f>WEEKDAY([1]Dataset!$A257)</f>
        <v>6</v>
      </c>
      <c r="J257" s="12">
        <f>[1]Dataset!$D257-[1]Dataset!$C257</f>
        <v>-5</v>
      </c>
    </row>
    <row r="258" spans="1:10" x14ac:dyDescent="0.25">
      <c r="A258" s="5">
        <v>44359</v>
      </c>
      <c r="B258" s="6" t="s">
        <v>14</v>
      </c>
      <c r="C258" s="6">
        <v>5</v>
      </c>
      <c r="D258" s="6"/>
      <c r="E258" s="6" t="s">
        <v>15</v>
      </c>
      <c r="F258" s="6" t="s">
        <v>16</v>
      </c>
      <c r="G258" s="6" t="s">
        <v>17</v>
      </c>
      <c r="H258" s="6">
        <f>MONTH([1]Dataset!$A258)</f>
        <v>6</v>
      </c>
      <c r="I258" s="7">
        <f>WEEKDAY([1]Dataset!$A258)</f>
        <v>7</v>
      </c>
      <c r="J258" s="8">
        <f>[1]Dataset!$D258-[1]Dataset!$C258</f>
        <v>-5</v>
      </c>
    </row>
    <row r="259" spans="1:10" x14ac:dyDescent="0.25">
      <c r="A259" s="9">
        <v>44360</v>
      </c>
      <c r="B259" s="10" t="s">
        <v>24</v>
      </c>
      <c r="C259" s="10">
        <v>140.19999999999999</v>
      </c>
      <c r="D259" s="10"/>
      <c r="E259" s="10" t="s">
        <v>25</v>
      </c>
      <c r="F259" s="10" t="s">
        <v>20</v>
      </c>
      <c r="G259" s="10" t="s">
        <v>17</v>
      </c>
      <c r="H259" s="10">
        <f>MONTH([1]Dataset!$A259)</f>
        <v>6</v>
      </c>
      <c r="I259" s="11">
        <f>WEEKDAY([1]Dataset!$A259)</f>
        <v>1</v>
      </c>
      <c r="J259" s="12">
        <f>[1]Dataset!$D259-[1]Dataset!$C259</f>
        <v>-140.19999999999999</v>
      </c>
    </row>
    <row r="260" spans="1:10" x14ac:dyDescent="0.25">
      <c r="A260" s="5">
        <v>44360</v>
      </c>
      <c r="B260" s="6" t="s">
        <v>14</v>
      </c>
      <c r="C260" s="6">
        <v>5</v>
      </c>
      <c r="D260" s="6"/>
      <c r="E260" s="6" t="s">
        <v>15</v>
      </c>
      <c r="F260" s="6" t="s">
        <v>16</v>
      </c>
      <c r="G260" s="6" t="s">
        <v>17</v>
      </c>
      <c r="H260" s="6">
        <f>MONTH([1]Dataset!$A260)</f>
        <v>6</v>
      </c>
      <c r="I260" s="7">
        <f>WEEKDAY([1]Dataset!$A260)</f>
        <v>1</v>
      </c>
      <c r="J260" s="8">
        <f>[1]Dataset!$D260-[1]Dataset!$C260</f>
        <v>-5</v>
      </c>
    </row>
    <row r="261" spans="1:10" x14ac:dyDescent="0.25">
      <c r="A261" s="9">
        <v>44361</v>
      </c>
      <c r="B261" s="10" t="s">
        <v>14</v>
      </c>
      <c r="C261" s="10">
        <v>5</v>
      </c>
      <c r="D261" s="10"/>
      <c r="E261" s="10" t="s">
        <v>15</v>
      </c>
      <c r="F261" s="10" t="s">
        <v>16</v>
      </c>
      <c r="G261" s="10" t="s">
        <v>17</v>
      </c>
      <c r="H261" s="10">
        <f>MONTH([1]Dataset!$A261)</f>
        <v>6</v>
      </c>
      <c r="I261" s="11">
        <f>WEEKDAY([1]Dataset!$A261)</f>
        <v>2</v>
      </c>
      <c r="J261" s="12">
        <f>[1]Dataset!$D261-[1]Dataset!$C261</f>
        <v>-5</v>
      </c>
    </row>
    <row r="262" spans="1:10" x14ac:dyDescent="0.25">
      <c r="A262" s="5">
        <v>44361</v>
      </c>
      <c r="B262" s="6" t="s">
        <v>29</v>
      </c>
      <c r="C262" s="6">
        <v>44.9</v>
      </c>
      <c r="D262" s="6"/>
      <c r="E262" s="6" t="s">
        <v>30</v>
      </c>
      <c r="F262" s="6" t="s">
        <v>31</v>
      </c>
      <c r="G262" s="6" t="s">
        <v>17</v>
      </c>
      <c r="H262" s="6">
        <f>MONTH([1]Dataset!$A262)</f>
        <v>6</v>
      </c>
      <c r="I262" s="7">
        <f>WEEKDAY([1]Dataset!$A262)</f>
        <v>2</v>
      </c>
      <c r="J262" s="8">
        <f>[1]Dataset!$D262-[1]Dataset!$C262</f>
        <v>-44.9</v>
      </c>
    </row>
    <row r="263" spans="1:10" x14ac:dyDescent="0.25">
      <c r="A263" s="9">
        <v>44361</v>
      </c>
      <c r="B263" s="10" t="s">
        <v>32</v>
      </c>
      <c r="C263" s="10">
        <v>102.9</v>
      </c>
      <c r="D263" s="10"/>
      <c r="E263" s="10" t="s">
        <v>33</v>
      </c>
      <c r="F263" s="10" t="s">
        <v>31</v>
      </c>
      <c r="G263" s="10" t="s">
        <v>17</v>
      </c>
      <c r="H263" s="10">
        <f>MONTH([1]Dataset!$A263)</f>
        <v>6</v>
      </c>
      <c r="I263" s="11">
        <f>WEEKDAY([1]Dataset!$A263)</f>
        <v>2</v>
      </c>
      <c r="J263" s="12">
        <f>[1]Dataset!$D263-[1]Dataset!$C263</f>
        <v>-102.9</v>
      </c>
    </row>
    <row r="264" spans="1:10" x14ac:dyDescent="0.25">
      <c r="A264" s="5">
        <v>44361</v>
      </c>
      <c r="B264" s="6" t="s">
        <v>34</v>
      </c>
      <c r="C264" s="6">
        <v>56.9</v>
      </c>
      <c r="D264" s="6"/>
      <c r="E264" s="6" t="s">
        <v>35</v>
      </c>
      <c r="F264" s="6" t="s">
        <v>16</v>
      </c>
      <c r="G264" s="6" t="s">
        <v>17</v>
      </c>
      <c r="H264" s="6">
        <f>MONTH([1]Dataset!$A264)</f>
        <v>6</v>
      </c>
      <c r="I264" s="7">
        <f>WEEKDAY([1]Dataset!$A264)</f>
        <v>2</v>
      </c>
      <c r="J264" s="8">
        <f>[1]Dataset!$D264-[1]Dataset!$C264</f>
        <v>-56.9</v>
      </c>
    </row>
    <row r="265" spans="1:10" x14ac:dyDescent="0.25">
      <c r="A265" s="9">
        <v>44362</v>
      </c>
      <c r="B265" s="10" t="s">
        <v>36</v>
      </c>
      <c r="C265" s="10">
        <v>33.1</v>
      </c>
      <c r="D265" s="10"/>
      <c r="E265" s="10" t="s">
        <v>37</v>
      </c>
      <c r="F265" s="10" t="s">
        <v>23</v>
      </c>
      <c r="G265" s="10" t="s">
        <v>17</v>
      </c>
      <c r="H265" s="10">
        <f>MONTH([1]Dataset!$A265)</f>
        <v>6</v>
      </c>
      <c r="I265" s="11">
        <f>WEEKDAY([1]Dataset!$A265)</f>
        <v>3</v>
      </c>
      <c r="J265" s="12">
        <f>[1]Dataset!$D265-[1]Dataset!$C265</f>
        <v>-33.1</v>
      </c>
    </row>
    <row r="266" spans="1:10" x14ac:dyDescent="0.25">
      <c r="A266" s="5">
        <v>44363</v>
      </c>
      <c r="B266" s="6" t="s">
        <v>38</v>
      </c>
      <c r="C266" s="6"/>
      <c r="D266" s="6">
        <v>100</v>
      </c>
      <c r="E266" s="6" t="s">
        <v>39</v>
      </c>
      <c r="F266" s="6" t="s">
        <v>40</v>
      </c>
      <c r="G266" s="6" t="s">
        <v>13</v>
      </c>
      <c r="H266" s="6">
        <f>MONTH([1]Dataset!$A266)</f>
        <v>6</v>
      </c>
      <c r="I266" s="7">
        <f>WEEKDAY([1]Dataset!$A266)</f>
        <v>4</v>
      </c>
      <c r="J266" s="8">
        <f>[1]Dataset!$D266-[1]Dataset!$C266</f>
        <v>100</v>
      </c>
    </row>
    <row r="267" spans="1:10" x14ac:dyDescent="0.25">
      <c r="A267" s="9">
        <v>44363</v>
      </c>
      <c r="B267" s="10" t="s">
        <v>14</v>
      </c>
      <c r="C267" s="10">
        <v>5</v>
      </c>
      <c r="D267" s="10"/>
      <c r="E267" s="10" t="s">
        <v>15</v>
      </c>
      <c r="F267" s="10" t="s">
        <v>16</v>
      </c>
      <c r="G267" s="10" t="s">
        <v>17</v>
      </c>
      <c r="H267" s="10">
        <f>MONTH([1]Dataset!$A267)</f>
        <v>6</v>
      </c>
      <c r="I267" s="11">
        <f>WEEKDAY([1]Dataset!$A267)</f>
        <v>4</v>
      </c>
      <c r="J267" s="12">
        <f>[1]Dataset!$D267-[1]Dataset!$C267</f>
        <v>-5</v>
      </c>
    </row>
    <row r="268" spans="1:10" x14ac:dyDescent="0.25">
      <c r="A268" s="5">
        <v>44364</v>
      </c>
      <c r="B268" s="6" t="s">
        <v>14</v>
      </c>
      <c r="C268" s="6">
        <v>5</v>
      </c>
      <c r="D268" s="6"/>
      <c r="E268" s="6" t="s">
        <v>15</v>
      </c>
      <c r="F268" s="6" t="s">
        <v>16</v>
      </c>
      <c r="G268" s="6" t="s">
        <v>17</v>
      </c>
      <c r="H268" s="6">
        <f>MONTH([1]Dataset!$A268)</f>
        <v>6</v>
      </c>
      <c r="I268" s="7">
        <f>WEEKDAY([1]Dataset!$A268)</f>
        <v>5</v>
      </c>
      <c r="J268" s="8">
        <f>[1]Dataset!$D268-[1]Dataset!$C268</f>
        <v>-5</v>
      </c>
    </row>
    <row r="269" spans="1:10" x14ac:dyDescent="0.25">
      <c r="A269" s="9">
        <v>44364</v>
      </c>
      <c r="B269" s="10" t="s">
        <v>42</v>
      </c>
      <c r="C269" s="10">
        <v>40</v>
      </c>
      <c r="D269" s="10"/>
      <c r="E269" s="10" t="s">
        <v>42</v>
      </c>
      <c r="F269" s="10" t="s">
        <v>20</v>
      </c>
      <c r="G269" s="10" t="s">
        <v>17</v>
      </c>
      <c r="H269" s="10">
        <f>MONTH([1]Dataset!$A269)</f>
        <v>6</v>
      </c>
      <c r="I269" s="11">
        <f>WEEKDAY([1]Dataset!$A269)</f>
        <v>5</v>
      </c>
      <c r="J269" s="12">
        <f>[1]Dataset!$D269-[1]Dataset!$C269</f>
        <v>-40</v>
      </c>
    </row>
    <row r="270" spans="1:10" x14ac:dyDescent="0.25">
      <c r="A270" s="5">
        <v>44365</v>
      </c>
      <c r="B270" s="6" t="s">
        <v>43</v>
      </c>
      <c r="C270" s="6">
        <v>50.1</v>
      </c>
      <c r="D270" s="6"/>
      <c r="E270" s="6" t="s">
        <v>44</v>
      </c>
      <c r="F270" s="6" t="s">
        <v>31</v>
      </c>
      <c r="G270" s="6" t="s">
        <v>17</v>
      </c>
      <c r="H270" s="6">
        <f>MONTH([1]Dataset!$A270)</f>
        <v>6</v>
      </c>
      <c r="I270" s="7">
        <f>WEEKDAY([1]Dataset!$A270)</f>
        <v>6</v>
      </c>
      <c r="J270" s="8">
        <f>[1]Dataset!$D270-[1]Dataset!$C270</f>
        <v>-50.1</v>
      </c>
    </row>
    <row r="271" spans="1:10" x14ac:dyDescent="0.25">
      <c r="A271" s="9">
        <v>44365</v>
      </c>
      <c r="B271" s="10" t="s">
        <v>45</v>
      </c>
      <c r="C271" s="10">
        <v>35</v>
      </c>
      <c r="D271" s="10"/>
      <c r="E271" s="10" t="s">
        <v>30</v>
      </c>
      <c r="F271" s="10" t="s">
        <v>31</v>
      </c>
      <c r="G271" s="10" t="s">
        <v>17</v>
      </c>
      <c r="H271" s="10">
        <f>MONTH([1]Dataset!$A271)</f>
        <v>6</v>
      </c>
      <c r="I271" s="11">
        <f>WEEKDAY([1]Dataset!$A271)</f>
        <v>6</v>
      </c>
      <c r="J271" s="12">
        <f>[1]Dataset!$D271-[1]Dataset!$C271</f>
        <v>-35</v>
      </c>
    </row>
    <row r="272" spans="1:10" x14ac:dyDescent="0.25">
      <c r="A272" s="5">
        <v>44365</v>
      </c>
      <c r="B272" s="6" t="s">
        <v>14</v>
      </c>
      <c r="C272" s="6">
        <v>5</v>
      </c>
      <c r="D272" s="6"/>
      <c r="E272" s="6" t="s">
        <v>15</v>
      </c>
      <c r="F272" s="6" t="s">
        <v>16</v>
      </c>
      <c r="G272" s="6" t="s">
        <v>17</v>
      </c>
      <c r="H272" s="6">
        <f>MONTH([1]Dataset!$A272)</f>
        <v>6</v>
      </c>
      <c r="I272" s="7">
        <f>WEEKDAY([1]Dataset!$A272)</f>
        <v>6</v>
      </c>
      <c r="J272" s="8">
        <f>[1]Dataset!$D272-[1]Dataset!$C272</f>
        <v>-5</v>
      </c>
    </row>
    <row r="273" spans="1:10" x14ac:dyDescent="0.25">
      <c r="A273" s="9">
        <v>44366</v>
      </c>
      <c r="B273" s="10" t="s">
        <v>14</v>
      </c>
      <c r="C273" s="10">
        <v>5</v>
      </c>
      <c r="D273" s="10"/>
      <c r="E273" s="10" t="s">
        <v>15</v>
      </c>
      <c r="F273" s="10" t="s">
        <v>16</v>
      </c>
      <c r="G273" s="10" t="s">
        <v>17</v>
      </c>
      <c r="H273" s="10">
        <f>MONTH([1]Dataset!$A273)</f>
        <v>6</v>
      </c>
      <c r="I273" s="11">
        <f>WEEKDAY([1]Dataset!$A273)</f>
        <v>7</v>
      </c>
      <c r="J273" s="12">
        <f>[1]Dataset!$D273-[1]Dataset!$C273</f>
        <v>-5</v>
      </c>
    </row>
    <row r="274" spans="1:10" x14ac:dyDescent="0.25">
      <c r="A274" s="5">
        <v>44367</v>
      </c>
      <c r="B274" s="6" t="s">
        <v>14</v>
      </c>
      <c r="C274" s="6">
        <v>5</v>
      </c>
      <c r="D274" s="6"/>
      <c r="E274" s="6" t="s">
        <v>15</v>
      </c>
      <c r="F274" s="6" t="s">
        <v>16</v>
      </c>
      <c r="G274" s="6" t="s">
        <v>17</v>
      </c>
      <c r="H274" s="6">
        <f>MONTH([1]Dataset!$A274)</f>
        <v>6</v>
      </c>
      <c r="I274" s="7">
        <f>WEEKDAY([1]Dataset!$A274)</f>
        <v>1</v>
      </c>
      <c r="J274" s="8">
        <f>[1]Dataset!$D274-[1]Dataset!$C274</f>
        <v>-5</v>
      </c>
    </row>
    <row r="275" spans="1:10" x14ac:dyDescent="0.25">
      <c r="A275" s="9">
        <v>44367</v>
      </c>
      <c r="B275" s="10" t="s">
        <v>24</v>
      </c>
      <c r="C275" s="10">
        <v>234</v>
      </c>
      <c r="D275" s="10"/>
      <c r="E275" s="10" t="s">
        <v>25</v>
      </c>
      <c r="F275" s="10" t="s">
        <v>20</v>
      </c>
      <c r="G275" s="10" t="s">
        <v>17</v>
      </c>
      <c r="H275" s="10">
        <f>MONTH([1]Dataset!$A275)</f>
        <v>6</v>
      </c>
      <c r="I275" s="11">
        <f>WEEKDAY([1]Dataset!$A275)</f>
        <v>1</v>
      </c>
      <c r="J275" s="12">
        <f>[1]Dataset!$D275-[1]Dataset!$C275</f>
        <v>-234</v>
      </c>
    </row>
    <row r="276" spans="1:10" x14ac:dyDescent="0.25">
      <c r="A276" s="5">
        <v>44368</v>
      </c>
      <c r="B276" s="6" t="s">
        <v>46</v>
      </c>
      <c r="C276" s="6">
        <v>42.1</v>
      </c>
      <c r="D276" s="6"/>
      <c r="E276" s="6" t="s">
        <v>35</v>
      </c>
      <c r="F276" s="6" t="s">
        <v>16</v>
      </c>
      <c r="G276" s="6" t="s">
        <v>17</v>
      </c>
      <c r="H276" s="6">
        <f>MONTH([1]Dataset!$A276)</f>
        <v>6</v>
      </c>
      <c r="I276" s="7">
        <f>WEEKDAY([1]Dataset!$A276)</f>
        <v>2</v>
      </c>
      <c r="J276" s="8">
        <f>[1]Dataset!$D276-[1]Dataset!$C276</f>
        <v>-42.1</v>
      </c>
    </row>
    <row r="277" spans="1:10" x14ac:dyDescent="0.25">
      <c r="A277" s="9">
        <v>44369</v>
      </c>
      <c r="B277" s="10" t="s">
        <v>47</v>
      </c>
      <c r="C277" s="10">
        <v>17.099999999999998</v>
      </c>
      <c r="D277" s="10"/>
      <c r="E277" s="10" t="s">
        <v>35</v>
      </c>
      <c r="F277" s="10" t="s">
        <v>16</v>
      </c>
      <c r="G277" s="10" t="s">
        <v>17</v>
      </c>
      <c r="H277" s="10">
        <f>MONTH([1]Dataset!$A277)</f>
        <v>6</v>
      </c>
      <c r="I277" s="11">
        <f>WEEKDAY([1]Dataset!$A277)</f>
        <v>3</v>
      </c>
      <c r="J277" s="12">
        <f>[1]Dataset!$D277-[1]Dataset!$C277</f>
        <v>-17.099999999999998</v>
      </c>
    </row>
    <row r="278" spans="1:10" x14ac:dyDescent="0.25">
      <c r="A278" s="5">
        <v>44370</v>
      </c>
      <c r="B278" s="6" t="s">
        <v>48</v>
      </c>
      <c r="C278" s="6">
        <v>55</v>
      </c>
      <c r="D278" s="6"/>
      <c r="E278" s="6" t="s">
        <v>49</v>
      </c>
      <c r="F278" s="6" t="s">
        <v>50</v>
      </c>
      <c r="G278" s="6" t="s">
        <v>17</v>
      </c>
      <c r="H278" s="6">
        <f>MONTH([1]Dataset!$A278)</f>
        <v>6</v>
      </c>
      <c r="I278" s="7">
        <f>WEEKDAY([1]Dataset!$A278)</f>
        <v>4</v>
      </c>
      <c r="J278" s="8">
        <f>[1]Dataset!$D278-[1]Dataset!$C278</f>
        <v>-55</v>
      </c>
    </row>
    <row r="279" spans="1:10" x14ac:dyDescent="0.25">
      <c r="A279" s="9">
        <v>44370</v>
      </c>
      <c r="B279" s="10" t="s">
        <v>28</v>
      </c>
      <c r="C279" s="10">
        <v>67.900000000000006</v>
      </c>
      <c r="D279" s="10"/>
      <c r="E279" s="10" t="s">
        <v>51</v>
      </c>
      <c r="F279" s="10" t="s">
        <v>23</v>
      </c>
      <c r="G279" s="10" t="s">
        <v>17</v>
      </c>
      <c r="H279" s="10">
        <f>MONTH([1]Dataset!$A279)</f>
        <v>6</v>
      </c>
      <c r="I279" s="11">
        <f>WEEKDAY([1]Dataset!$A279)</f>
        <v>4</v>
      </c>
      <c r="J279" s="12">
        <f>[1]Dataset!$D279-[1]Dataset!$C279</f>
        <v>-67.900000000000006</v>
      </c>
    </row>
    <row r="280" spans="1:10" x14ac:dyDescent="0.25">
      <c r="A280" s="5">
        <v>44370</v>
      </c>
      <c r="B280" s="6" t="s">
        <v>14</v>
      </c>
      <c r="C280" s="6">
        <v>5</v>
      </c>
      <c r="D280" s="6"/>
      <c r="E280" s="6" t="s">
        <v>15</v>
      </c>
      <c r="F280" s="6" t="s">
        <v>16</v>
      </c>
      <c r="G280" s="6" t="s">
        <v>17</v>
      </c>
      <c r="H280" s="6">
        <f>MONTH([1]Dataset!$A280)</f>
        <v>6</v>
      </c>
      <c r="I280" s="7">
        <f>WEEKDAY([1]Dataset!$A280)</f>
        <v>4</v>
      </c>
      <c r="J280" s="8">
        <f>[1]Dataset!$D280-[1]Dataset!$C280</f>
        <v>-5</v>
      </c>
    </row>
    <row r="281" spans="1:10" x14ac:dyDescent="0.25">
      <c r="A281" s="9">
        <v>44371</v>
      </c>
      <c r="B281" s="10" t="s">
        <v>14</v>
      </c>
      <c r="C281" s="10">
        <v>5</v>
      </c>
      <c r="D281" s="10"/>
      <c r="E281" s="10" t="s">
        <v>15</v>
      </c>
      <c r="F281" s="10" t="s">
        <v>16</v>
      </c>
      <c r="G281" s="10" t="s">
        <v>17</v>
      </c>
      <c r="H281" s="10">
        <f>MONTH([1]Dataset!$A281)</f>
        <v>6</v>
      </c>
      <c r="I281" s="11">
        <f>WEEKDAY([1]Dataset!$A281)</f>
        <v>5</v>
      </c>
      <c r="J281" s="12">
        <f>[1]Dataset!$D281-[1]Dataset!$C281</f>
        <v>-5</v>
      </c>
    </row>
    <row r="282" spans="1:10" x14ac:dyDescent="0.25">
      <c r="A282" s="5">
        <v>44372</v>
      </c>
      <c r="B282" s="6" t="s">
        <v>14</v>
      </c>
      <c r="C282" s="6">
        <v>5</v>
      </c>
      <c r="D282" s="6"/>
      <c r="E282" s="6" t="s">
        <v>15</v>
      </c>
      <c r="F282" s="6" t="s">
        <v>16</v>
      </c>
      <c r="G282" s="6" t="s">
        <v>17</v>
      </c>
      <c r="H282" s="6">
        <f>MONTH([1]Dataset!$A282)</f>
        <v>6</v>
      </c>
      <c r="I282" s="7">
        <f>WEEKDAY([1]Dataset!$A282)</f>
        <v>6</v>
      </c>
      <c r="J282" s="8">
        <f>[1]Dataset!$D282-[1]Dataset!$C282</f>
        <v>-5</v>
      </c>
    </row>
    <row r="283" spans="1:10" x14ac:dyDescent="0.25">
      <c r="A283" s="9">
        <v>44373</v>
      </c>
      <c r="B283" s="10" t="s">
        <v>14</v>
      </c>
      <c r="C283" s="10">
        <v>5</v>
      </c>
      <c r="D283" s="10"/>
      <c r="E283" s="10" t="s">
        <v>15</v>
      </c>
      <c r="F283" s="10" t="s">
        <v>16</v>
      </c>
      <c r="G283" s="10" t="s">
        <v>17</v>
      </c>
      <c r="H283" s="10">
        <f>MONTH([1]Dataset!$A283)</f>
        <v>6</v>
      </c>
      <c r="I283" s="11">
        <f>WEEKDAY([1]Dataset!$A283)</f>
        <v>7</v>
      </c>
      <c r="J283" s="12">
        <f>[1]Dataset!$D283-[1]Dataset!$C283</f>
        <v>-5</v>
      </c>
    </row>
    <row r="284" spans="1:10" x14ac:dyDescent="0.25">
      <c r="A284" s="5">
        <v>44374</v>
      </c>
      <c r="B284" s="6" t="s">
        <v>14</v>
      </c>
      <c r="C284" s="6">
        <v>5</v>
      </c>
      <c r="D284" s="6"/>
      <c r="E284" s="6" t="s">
        <v>15</v>
      </c>
      <c r="F284" s="6" t="s">
        <v>16</v>
      </c>
      <c r="G284" s="6" t="s">
        <v>17</v>
      </c>
      <c r="H284" s="6">
        <f>MONTH([1]Dataset!$A284)</f>
        <v>6</v>
      </c>
      <c r="I284" s="7">
        <f>WEEKDAY([1]Dataset!$A284)</f>
        <v>1</v>
      </c>
      <c r="J284" s="8">
        <f>[1]Dataset!$D284-[1]Dataset!$C284</f>
        <v>-5</v>
      </c>
    </row>
    <row r="285" spans="1:10" x14ac:dyDescent="0.25">
      <c r="A285" s="9">
        <v>44374</v>
      </c>
      <c r="B285" s="10" t="s">
        <v>24</v>
      </c>
      <c r="C285" s="10">
        <v>166.9</v>
      </c>
      <c r="D285" s="10"/>
      <c r="E285" s="10" t="s">
        <v>25</v>
      </c>
      <c r="F285" s="10" t="s">
        <v>20</v>
      </c>
      <c r="G285" s="10" t="s">
        <v>17</v>
      </c>
      <c r="H285" s="10">
        <f>MONTH([1]Dataset!$A285)</f>
        <v>6</v>
      </c>
      <c r="I285" s="11">
        <f>WEEKDAY([1]Dataset!$A285)</f>
        <v>1</v>
      </c>
      <c r="J285" s="12">
        <f>[1]Dataset!$D285-[1]Dataset!$C285</f>
        <v>-166.9</v>
      </c>
    </row>
    <row r="286" spans="1:10" x14ac:dyDescent="0.25">
      <c r="A286" s="5">
        <v>44375</v>
      </c>
      <c r="B286" s="6" t="s">
        <v>52</v>
      </c>
      <c r="C286" s="6">
        <v>129.9</v>
      </c>
      <c r="D286" s="6"/>
      <c r="E286" s="6" t="s">
        <v>33</v>
      </c>
      <c r="F286" s="6" t="s">
        <v>31</v>
      </c>
      <c r="G286" s="6" t="s">
        <v>17</v>
      </c>
      <c r="H286" s="6">
        <f>MONTH([1]Dataset!$A286)</f>
        <v>6</v>
      </c>
      <c r="I286" s="7">
        <f>WEEKDAY([1]Dataset!$A286)</f>
        <v>2</v>
      </c>
      <c r="J286" s="8">
        <f>[1]Dataset!$D286-[1]Dataset!$C286</f>
        <v>-129.9</v>
      </c>
    </row>
    <row r="287" spans="1:10" x14ac:dyDescent="0.25">
      <c r="A287" s="9">
        <v>44375</v>
      </c>
      <c r="B287" s="10" t="s">
        <v>53</v>
      </c>
      <c r="C287" s="10">
        <v>180.29999999999998</v>
      </c>
      <c r="D287" s="10"/>
      <c r="E287" s="10" t="s">
        <v>30</v>
      </c>
      <c r="F287" s="10" t="s">
        <v>31</v>
      </c>
      <c r="G287" s="10" t="s">
        <v>17</v>
      </c>
      <c r="H287" s="10">
        <f>MONTH([1]Dataset!$A287)</f>
        <v>6</v>
      </c>
      <c r="I287" s="11">
        <f>WEEKDAY([1]Dataset!$A287)</f>
        <v>2</v>
      </c>
      <c r="J287" s="12">
        <f>[1]Dataset!$D287-[1]Dataset!$C287</f>
        <v>-180.29999999999998</v>
      </c>
    </row>
    <row r="288" spans="1:10" x14ac:dyDescent="0.25">
      <c r="A288" s="5">
        <v>44376</v>
      </c>
      <c r="B288" s="6" t="s">
        <v>32</v>
      </c>
      <c r="C288" s="6">
        <v>150.1</v>
      </c>
      <c r="D288" s="6"/>
      <c r="E288" s="6" t="s">
        <v>33</v>
      </c>
      <c r="F288" s="6" t="s">
        <v>31</v>
      </c>
      <c r="G288" s="6" t="s">
        <v>17</v>
      </c>
      <c r="H288" s="6">
        <f>MONTH([1]Dataset!$A288)</f>
        <v>6</v>
      </c>
      <c r="I288" s="7">
        <f>WEEKDAY([1]Dataset!$A288)</f>
        <v>3</v>
      </c>
      <c r="J288" s="8">
        <f>[1]Dataset!$D288-[1]Dataset!$C288</f>
        <v>-150.1</v>
      </c>
    </row>
    <row r="289" spans="1:10" x14ac:dyDescent="0.25">
      <c r="A289" s="9">
        <v>44376</v>
      </c>
      <c r="B289" s="10" t="s">
        <v>36</v>
      </c>
      <c r="C289" s="10">
        <v>28.200000000000003</v>
      </c>
      <c r="D289" s="10"/>
      <c r="E289" s="10" t="s">
        <v>37</v>
      </c>
      <c r="F289" s="10" t="s">
        <v>23</v>
      </c>
      <c r="G289" s="10" t="s">
        <v>17</v>
      </c>
      <c r="H289" s="10">
        <f>MONTH([1]Dataset!$A289)</f>
        <v>6</v>
      </c>
      <c r="I289" s="11">
        <f>WEEKDAY([1]Dataset!$A289)</f>
        <v>3</v>
      </c>
      <c r="J289" s="12">
        <f>[1]Dataset!$D289-[1]Dataset!$C289</f>
        <v>-28.200000000000003</v>
      </c>
    </row>
    <row r="290" spans="1:10" x14ac:dyDescent="0.25">
      <c r="A290" s="5">
        <v>44376</v>
      </c>
      <c r="B290" s="6" t="s">
        <v>59</v>
      </c>
      <c r="C290" s="6">
        <v>15</v>
      </c>
      <c r="D290" s="6"/>
      <c r="E290" s="6" t="s">
        <v>35</v>
      </c>
      <c r="F290" s="6" t="s">
        <v>16</v>
      </c>
      <c r="G290" s="6" t="s">
        <v>17</v>
      </c>
      <c r="H290" s="6">
        <f>MONTH([1]Dataset!$A290)</f>
        <v>6</v>
      </c>
      <c r="I290" s="7">
        <f>WEEKDAY([1]Dataset!$A290)</f>
        <v>3</v>
      </c>
      <c r="J290" s="8">
        <f>[1]Dataset!$D290-[1]Dataset!$C290</f>
        <v>-15</v>
      </c>
    </row>
    <row r="291" spans="1:10" x14ac:dyDescent="0.25">
      <c r="A291" s="9">
        <v>44377</v>
      </c>
      <c r="B291" s="10" t="s">
        <v>14</v>
      </c>
      <c r="C291" s="10">
        <v>5</v>
      </c>
      <c r="D291" s="10"/>
      <c r="E291" s="10" t="s">
        <v>15</v>
      </c>
      <c r="F291" s="10" t="s">
        <v>16</v>
      </c>
      <c r="G291" s="10" t="s">
        <v>17</v>
      </c>
      <c r="H291" s="10">
        <f>MONTH([1]Dataset!$A291)</f>
        <v>6</v>
      </c>
      <c r="I291" s="11">
        <f>WEEKDAY([1]Dataset!$A291)</f>
        <v>4</v>
      </c>
      <c r="J291" s="12">
        <f>[1]Dataset!$D291-[1]Dataset!$C291</f>
        <v>-5</v>
      </c>
    </row>
    <row r="292" spans="1:10" x14ac:dyDescent="0.25">
      <c r="A292" s="5">
        <v>44378</v>
      </c>
      <c r="B292" s="6" t="s">
        <v>14</v>
      </c>
      <c r="C292" s="6">
        <v>5</v>
      </c>
      <c r="D292" s="6"/>
      <c r="E292" s="6" t="s">
        <v>15</v>
      </c>
      <c r="F292" s="6" t="s">
        <v>16</v>
      </c>
      <c r="G292" s="6" t="s">
        <v>17</v>
      </c>
      <c r="H292" s="6">
        <f>MONTH([1]Dataset!$A292)</f>
        <v>7</v>
      </c>
      <c r="I292" s="7">
        <f>WEEKDAY([1]Dataset!$A292)</f>
        <v>5</v>
      </c>
      <c r="J292" s="8">
        <f>[1]Dataset!$D292-[1]Dataset!$C292</f>
        <v>-5</v>
      </c>
    </row>
    <row r="293" spans="1:10" x14ac:dyDescent="0.25">
      <c r="A293" s="9">
        <v>44379</v>
      </c>
      <c r="B293" s="10" t="s">
        <v>10</v>
      </c>
      <c r="C293" s="10"/>
      <c r="D293" s="10">
        <v>5000</v>
      </c>
      <c r="E293" s="10" t="s">
        <v>11</v>
      </c>
      <c r="F293" s="10" t="s">
        <v>12</v>
      </c>
      <c r="G293" s="10" t="s">
        <v>13</v>
      </c>
      <c r="H293" s="10">
        <f>MONTH([1]Dataset!$A293)</f>
        <v>7</v>
      </c>
      <c r="I293" s="11">
        <f>WEEKDAY([1]Dataset!$A293)</f>
        <v>6</v>
      </c>
      <c r="J293" s="12">
        <f>[1]Dataset!$D293-[1]Dataset!$C293</f>
        <v>5000</v>
      </c>
    </row>
    <row r="294" spans="1:10" x14ac:dyDescent="0.25">
      <c r="A294" s="5">
        <v>44380</v>
      </c>
      <c r="B294" s="6" t="s">
        <v>14</v>
      </c>
      <c r="C294" s="6">
        <v>5</v>
      </c>
      <c r="D294" s="6"/>
      <c r="E294" s="6" t="s">
        <v>15</v>
      </c>
      <c r="F294" s="6" t="s">
        <v>16</v>
      </c>
      <c r="G294" s="6" t="s">
        <v>17</v>
      </c>
      <c r="H294" s="6">
        <f>MONTH([1]Dataset!$A294)</f>
        <v>7</v>
      </c>
      <c r="I294" s="7">
        <f>WEEKDAY([1]Dataset!$A294)</f>
        <v>7</v>
      </c>
      <c r="J294" s="8">
        <f>[1]Dataset!$D294-[1]Dataset!$C294</f>
        <v>-5</v>
      </c>
    </row>
    <row r="295" spans="1:10" x14ac:dyDescent="0.25">
      <c r="A295" s="9">
        <v>44382</v>
      </c>
      <c r="B295" s="10" t="s">
        <v>18</v>
      </c>
      <c r="C295" s="10">
        <v>900</v>
      </c>
      <c r="D295" s="10"/>
      <c r="E295" s="10" t="s">
        <v>19</v>
      </c>
      <c r="F295" s="10" t="s">
        <v>20</v>
      </c>
      <c r="G295" s="10" t="s">
        <v>17</v>
      </c>
      <c r="H295" s="10">
        <f>MONTH([1]Dataset!$A295)</f>
        <v>7</v>
      </c>
      <c r="I295" s="11">
        <f>WEEKDAY([1]Dataset!$A295)</f>
        <v>2</v>
      </c>
      <c r="J295" s="12">
        <f>[1]Dataset!$D295-[1]Dataset!$C295</f>
        <v>-900</v>
      </c>
    </row>
    <row r="296" spans="1:10" x14ac:dyDescent="0.25">
      <c r="A296" s="5">
        <v>44382</v>
      </c>
      <c r="B296" s="6" t="s">
        <v>21</v>
      </c>
      <c r="C296" s="6">
        <v>150</v>
      </c>
      <c r="D296" s="6"/>
      <c r="E296" s="6" t="s">
        <v>22</v>
      </c>
      <c r="F296" s="6" t="s">
        <v>23</v>
      </c>
      <c r="G296" s="6" t="s">
        <v>17</v>
      </c>
      <c r="H296" s="6">
        <f>MONTH([1]Dataset!$A296)</f>
        <v>7</v>
      </c>
      <c r="I296" s="7">
        <f>WEEKDAY([1]Dataset!$A296)</f>
        <v>2</v>
      </c>
      <c r="J296" s="8">
        <f>[1]Dataset!$D296-[1]Dataset!$C296</f>
        <v>-150</v>
      </c>
    </row>
    <row r="297" spans="1:10" x14ac:dyDescent="0.25">
      <c r="A297" s="9">
        <v>44382</v>
      </c>
      <c r="B297" s="10" t="s">
        <v>63</v>
      </c>
      <c r="C297" s="10">
        <v>15</v>
      </c>
      <c r="D297" s="10"/>
      <c r="E297" s="10" t="s">
        <v>35</v>
      </c>
      <c r="F297" s="10" t="s">
        <v>16</v>
      </c>
      <c r="G297" s="10" t="s">
        <v>17</v>
      </c>
      <c r="H297" s="10">
        <f>MONTH([1]Dataset!$A297)</f>
        <v>7</v>
      </c>
      <c r="I297" s="11">
        <f>WEEKDAY([1]Dataset!$A297)</f>
        <v>2</v>
      </c>
      <c r="J297" s="12">
        <f>[1]Dataset!$D297-[1]Dataset!$C297</f>
        <v>-15</v>
      </c>
    </row>
    <row r="298" spans="1:10" x14ac:dyDescent="0.25">
      <c r="A298" s="5">
        <v>44382</v>
      </c>
      <c r="B298" s="6" t="s">
        <v>14</v>
      </c>
      <c r="C298" s="6">
        <v>5</v>
      </c>
      <c r="D298" s="6"/>
      <c r="E298" s="6" t="s">
        <v>15</v>
      </c>
      <c r="F298" s="6" t="s">
        <v>16</v>
      </c>
      <c r="G298" s="6" t="s">
        <v>17</v>
      </c>
      <c r="H298" s="6">
        <f>MONTH([1]Dataset!$A298)</f>
        <v>7</v>
      </c>
      <c r="I298" s="7">
        <f>WEEKDAY([1]Dataset!$A298)</f>
        <v>2</v>
      </c>
      <c r="J298" s="8">
        <f>[1]Dataset!$D298-[1]Dataset!$C298</f>
        <v>-5</v>
      </c>
    </row>
    <row r="299" spans="1:10" x14ac:dyDescent="0.25">
      <c r="A299" s="9">
        <v>44383</v>
      </c>
      <c r="B299" s="10" t="s">
        <v>14</v>
      </c>
      <c r="C299" s="10">
        <v>5</v>
      </c>
      <c r="D299" s="10"/>
      <c r="E299" s="10" t="s">
        <v>15</v>
      </c>
      <c r="F299" s="10" t="s">
        <v>16</v>
      </c>
      <c r="G299" s="10" t="s">
        <v>17</v>
      </c>
      <c r="H299" s="10">
        <f>MONTH([1]Dataset!$A299)</f>
        <v>7</v>
      </c>
      <c r="I299" s="11">
        <f>WEEKDAY([1]Dataset!$A299)</f>
        <v>3</v>
      </c>
      <c r="J299" s="12">
        <f>[1]Dataset!$D299-[1]Dataset!$C299</f>
        <v>-5</v>
      </c>
    </row>
    <row r="300" spans="1:10" x14ac:dyDescent="0.25">
      <c r="A300" s="5">
        <v>44384</v>
      </c>
      <c r="B300" s="6" t="s">
        <v>14</v>
      </c>
      <c r="C300" s="6">
        <v>5</v>
      </c>
      <c r="D300" s="6"/>
      <c r="E300" s="6" t="s">
        <v>15</v>
      </c>
      <c r="F300" s="6" t="s">
        <v>16</v>
      </c>
      <c r="G300" s="6" t="s">
        <v>17</v>
      </c>
      <c r="H300" s="6">
        <f>MONTH([1]Dataset!$A300)</f>
        <v>7</v>
      </c>
      <c r="I300" s="7">
        <f>WEEKDAY([1]Dataset!$A300)</f>
        <v>4</v>
      </c>
      <c r="J300" s="8">
        <f>[1]Dataset!$D300-[1]Dataset!$C300</f>
        <v>-5</v>
      </c>
    </row>
    <row r="301" spans="1:10" x14ac:dyDescent="0.25">
      <c r="A301" s="9">
        <v>44384</v>
      </c>
      <c r="B301" s="10" t="s">
        <v>24</v>
      </c>
      <c r="C301" s="10">
        <v>180</v>
      </c>
      <c r="D301" s="10"/>
      <c r="E301" s="10" t="s">
        <v>25</v>
      </c>
      <c r="F301" s="10" t="s">
        <v>20</v>
      </c>
      <c r="G301" s="10" t="s">
        <v>17</v>
      </c>
      <c r="H301" s="10">
        <f>MONTH([1]Dataset!$A301)</f>
        <v>7</v>
      </c>
      <c r="I301" s="11">
        <f>WEEKDAY([1]Dataset!$A301)</f>
        <v>4</v>
      </c>
      <c r="J301" s="12">
        <f>[1]Dataset!$D301-[1]Dataset!$C301</f>
        <v>-180</v>
      </c>
    </row>
    <row r="302" spans="1:10" x14ac:dyDescent="0.25">
      <c r="A302" s="5">
        <v>44387</v>
      </c>
      <c r="B302" s="6" t="s">
        <v>26</v>
      </c>
      <c r="C302" s="6">
        <v>56.1</v>
      </c>
      <c r="D302" s="6"/>
      <c r="E302" s="6" t="s">
        <v>27</v>
      </c>
      <c r="F302" s="6" t="s">
        <v>20</v>
      </c>
      <c r="G302" s="6" t="s">
        <v>17</v>
      </c>
      <c r="H302" s="6">
        <f>MONTH([1]Dataset!$A302)</f>
        <v>7</v>
      </c>
      <c r="I302" s="7">
        <f>WEEKDAY([1]Dataset!$A302)</f>
        <v>7</v>
      </c>
      <c r="J302" s="8">
        <f>[1]Dataset!$D302-[1]Dataset!$C302</f>
        <v>-56.1</v>
      </c>
    </row>
    <row r="303" spans="1:10" x14ac:dyDescent="0.25">
      <c r="A303" s="9">
        <v>44387</v>
      </c>
      <c r="B303" s="10" t="s">
        <v>14</v>
      </c>
      <c r="C303" s="10">
        <v>5</v>
      </c>
      <c r="D303" s="10"/>
      <c r="E303" s="10" t="s">
        <v>15</v>
      </c>
      <c r="F303" s="10" t="s">
        <v>16</v>
      </c>
      <c r="G303" s="10" t="s">
        <v>17</v>
      </c>
      <c r="H303" s="10">
        <f>MONTH([1]Dataset!$A303)</f>
        <v>7</v>
      </c>
      <c r="I303" s="11">
        <f>WEEKDAY([1]Dataset!$A303)</f>
        <v>7</v>
      </c>
      <c r="J303" s="12">
        <f>[1]Dataset!$D303-[1]Dataset!$C303</f>
        <v>-5</v>
      </c>
    </row>
    <row r="304" spans="1:10" x14ac:dyDescent="0.25">
      <c r="A304" s="5">
        <v>44388</v>
      </c>
      <c r="B304" s="6" t="s">
        <v>14</v>
      </c>
      <c r="C304" s="6">
        <v>5</v>
      </c>
      <c r="D304" s="6"/>
      <c r="E304" s="6" t="s">
        <v>15</v>
      </c>
      <c r="F304" s="6" t="s">
        <v>16</v>
      </c>
      <c r="G304" s="6" t="s">
        <v>17</v>
      </c>
      <c r="H304" s="6">
        <f>MONTH([1]Dataset!$A304)</f>
        <v>7</v>
      </c>
      <c r="I304" s="7">
        <f>WEEKDAY([1]Dataset!$A304)</f>
        <v>1</v>
      </c>
      <c r="J304" s="8">
        <f>[1]Dataset!$D304-[1]Dataset!$C304</f>
        <v>-5</v>
      </c>
    </row>
    <row r="305" spans="1:10" x14ac:dyDescent="0.25">
      <c r="A305" s="9">
        <v>44389</v>
      </c>
      <c r="B305" s="10" t="s">
        <v>28</v>
      </c>
      <c r="C305" s="10">
        <v>83.1</v>
      </c>
      <c r="D305" s="10"/>
      <c r="E305" s="10" t="s">
        <v>51</v>
      </c>
      <c r="F305" s="10" t="s">
        <v>23</v>
      </c>
      <c r="G305" s="10" t="s">
        <v>17</v>
      </c>
      <c r="H305" s="10">
        <f>MONTH([1]Dataset!$A305)</f>
        <v>7</v>
      </c>
      <c r="I305" s="11">
        <f>WEEKDAY([1]Dataset!$A305)</f>
        <v>2</v>
      </c>
      <c r="J305" s="12">
        <f>[1]Dataset!$D305-[1]Dataset!$C305</f>
        <v>-83.1</v>
      </c>
    </row>
    <row r="306" spans="1:10" x14ac:dyDescent="0.25">
      <c r="A306" s="5">
        <v>44389</v>
      </c>
      <c r="B306" s="6" t="s">
        <v>14</v>
      </c>
      <c r="C306" s="6">
        <v>5</v>
      </c>
      <c r="D306" s="6"/>
      <c r="E306" s="6" t="s">
        <v>15</v>
      </c>
      <c r="F306" s="6" t="s">
        <v>16</v>
      </c>
      <c r="G306" s="6" t="s">
        <v>17</v>
      </c>
      <c r="H306" s="6">
        <f>MONTH([1]Dataset!$A306)</f>
        <v>7</v>
      </c>
      <c r="I306" s="7">
        <f>WEEKDAY([1]Dataset!$A306)</f>
        <v>2</v>
      </c>
      <c r="J306" s="8">
        <f>[1]Dataset!$D306-[1]Dataset!$C306</f>
        <v>-5</v>
      </c>
    </row>
    <row r="307" spans="1:10" x14ac:dyDescent="0.25">
      <c r="A307" s="9">
        <v>44390</v>
      </c>
      <c r="B307" s="10" t="s">
        <v>14</v>
      </c>
      <c r="C307" s="10">
        <v>5</v>
      </c>
      <c r="D307" s="10"/>
      <c r="E307" s="10" t="s">
        <v>15</v>
      </c>
      <c r="F307" s="10" t="s">
        <v>16</v>
      </c>
      <c r="G307" s="10" t="s">
        <v>17</v>
      </c>
      <c r="H307" s="10">
        <f>MONTH([1]Dataset!$A307)</f>
        <v>7</v>
      </c>
      <c r="I307" s="11">
        <f>WEEKDAY([1]Dataset!$A307)</f>
        <v>3</v>
      </c>
      <c r="J307" s="12">
        <f>[1]Dataset!$D307-[1]Dataset!$C307</f>
        <v>-5</v>
      </c>
    </row>
    <row r="308" spans="1:10" x14ac:dyDescent="0.25">
      <c r="A308" s="5">
        <v>44391</v>
      </c>
      <c r="B308" s="6" t="s">
        <v>24</v>
      </c>
      <c r="C308" s="6">
        <v>141.1</v>
      </c>
      <c r="D308" s="6"/>
      <c r="E308" s="6" t="s">
        <v>25</v>
      </c>
      <c r="F308" s="6" t="s">
        <v>20</v>
      </c>
      <c r="G308" s="6" t="s">
        <v>17</v>
      </c>
      <c r="H308" s="6">
        <f>MONTH([1]Dataset!$A308)</f>
        <v>7</v>
      </c>
      <c r="I308" s="7">
        <f>WEEKDAY([1]Dataset!$A308)</f>
        <v>4</v>
      </c>
      <c r="J308" s="8">
        <f>[1]Dataset!$D308-[1]Dataset!$C308</f>
        <v>-141.1</v>
      </c>
    </row>
    <row r="309" spans="1:10" x14ac:dyDescent="0.25">
      <c r="A309" s="9">
        <v>44391</v>
      </c>
      <c r="B309" s="10" t="s">
        <v>14</v>
      </c>
      <c r="C309" s="10">
        <v>5</v>
      </c>
      <c r="D309" s="10"/>
      <c r="E309" s="10" t="s">
        <v>15</v>
      </c>
      <c r="F309" s="10" t="s">
        <v>16</v>
      </c>
      <c r="G309" s="10" t="s">
        <v>17</v>
      </c>
      <c r="H309" s="10">
        <f>MONTH([1]Dataset!$A309)</f>
        <v>7</v>
      </c>
      <c r="I309" s="11">
        <f>WEEKDAY([1]Dataset!$A309)</f>
        <v>4</v>
      </c>
      <c r="J309" s="12">
        <f>[1]Dataset!$D309-[1]Dataset!$C309</f>
        <v>-5</v>
      </c>
    </row>
    <row r="310" spans="1:10" x14ac:dyDescent="0.25">
      <c r="A310" s="5">
        <v>44392</v>
      </c>
      <c r="B310" s="6" t="s">
        <v>14</v>
      </c>
      <c r="C310" s="6">
        <v>5</v>
      </c>
      <c r="D310" s="6"/>
      <c r="E310" s="6" t="s">
        <v>15</v>
      </c>
      <c r="F310" s="6" t="s">
        <v>16</v>
      </c>
      <c r="G310" s="6" t="s">
        <v>17</v>
      </c>
      <c r="H310" s="6">
        <f>MONTH([1]Dataset!$A310)</f>
        <v>7</v>
      </c>
      <c r="I310" s="7">
        <f>WEEKDAY([1]Dataset!$A310)</f>
        <v>5</v>
      </c>
      <c r="J310" s="8">
        <f>[1]Dataset!$D310-[1]Dataset!$C310</f>
        <v>-5</v>
      </c>
    </row>
    <row r="311" spans="1:10" x14ac:dyDescent="0.25">
      <c r="A311" s="9">
        <v>44392</v>
      </c>
      <c r="B311" s="10" t="s">
        <v>29</v>
      </c>
      <c r="C311" s="10">
        <v>45.8</v>
      </c>
      <c r="D311" s="10"/>
      <c r="E311" s="10" t="s">
        <v>30</v>
      </c>
      <c r="F311" s="10" t="s">
        <v>31</v>
      </c>
      <c r="G311" s="10" t="s">
        <v>17</v>
      </c>
      <c r="H311" s="10">
        <f>MONTH([1]Dataset!$A311)</f>
        <v>7</v>
      </c>
      <c r="I311" s="11">
        <f>WEEKDAY([1]Dataset!$A311)</f>
        <v>5</v>
      </c>
      <c r="J311" s="12">
        <f>[1]Dataset!$D311-[1]Dataset!$C311</f>
        <v>-45.8</v>
      </c>
    </row>
    <row r="312" spans="1:10" x14ac:dyDescent="0.25">
      <c r="A312" s="5">
        <v>44392</v>
      </c>
      <c r="B312" s="6" t="s">
        <v>32</v>
      </c>
      <c r="C312" s="6">
        <v>103.80000000000001</v>
      </c>
      <c r="D312" s="6"/>
      <c r="E312" s="6" t="s">
        <v>33</v>
      </c>
      <c r="F312" s="6" t="s">
        <v>31</v>
      </c>
      <c r="G312" s="6" t="s">
        <v>17</v>
      </c>
      <c r="H312" s="6">
        <f>MONTH([1]Dataset!$A312)</f>
        <v>7</v>
      </c>
      <c r="I312" s="7">
        <f>WEEKDAY([1]Dataset!$A312)</f>
        <v>5</v>
      </c>
      <c r="J312" s="8">
        <f>[1]Dataset!$D312-[1]Dataset!$C312</f>
        <v>-103.80000000000001</v>
      </c>
    </row>
    <row r="313" spans="1:10" x14ac:dyDescent="0.25">
      <c r="A313" s="9">
        <v>44392</v>
      </c>
      <c r="B313" s="10" t="s">
        <v>34</v>
      </c>
      <c r="C313" s="10">
        <v>58</v>
      </c>
      <c r="D313" s="10"/>
      <c r="E313" s="10" t="s">
        <v>35</v>
      </c>
      <c r="F313" s="10" t="s">
        <v>16</v>
      </c>
      <c r="G313" s="10" t="s">
        <v>17</v>
      </c>
      <c r="H313" s="10">
        <f>MONTH([1]Dataset!$A313)</f>
        <v>7</v>
      </c>
      <c r="I313" s="11">
        <f>WEEKDAY([1]Dataset!$A313)</f>
        <v>5</v>
      </c>
      <c r="J313" s="12">
        <f>[1]Dataset!$D313-[1]Dataset!$C313</f>
        <v>-58</v>
      </c>
    </row>
    <row r="314" spans="1:10" x14ac:dyDescent="0.25">
      <c r="A314" s="5">
        <v>44393</v>
      </c>
      <c r="B314" s="6" t="s">
        <v>36</v>
      </c>
      <c r="C314" s="6">
        <v>34.200000000000003</v>
      </c>
      <c r="D314" s="6"/>
      <c r="E314" s="6" t="s">
        <v>37</v>
      </c>
      <c r="F314" s="6" t="s">
        <v>23</v>
      </c>
      <c r="G314" s="6" t="s">
        <v>17</v>
      </c>
      <c r="H314" s="6">
        <f>MONTH([1]Dataset!$A314)</f>
        <v>7</v>
      </c>
      <c r="I314" s="7">
        <f>WEEKDAY([1]Dataset!$A314)</f>
        <v>6</v>
      </c>
      <c r="J314" s="8">
        <f>[1]Dataset!$D314-[1]Dataset!$C314</f>
        <v>-34.200000000000003</v>
      </c>
    </row>
    <row r="315" spans="1:10" x14ac:dyDescent="0.25">
      <c r="A315" s="9">
        <v>44394</v>
      </c>
      <c r="B315" s="10" t="s">
        <v>38</v>
      </c>
      <c r="C315" s="10"/>
      <c r="D315" s="10">
        <v>200</v>
      </c>
      <c r="E315" s="10" t="s">
        <v>39</v>
      </c>
      <c r="F315" s="10" t="s">
        <v>40</v>
      </c>
      <c r="G315" s="10" t="s">
        <v>13</v>
      </c>
      <c r="H315" s="10">
        <f>MONTH([1]Dataset!$A315)</f>
        <v>7</v>
      </c>
      <c r="I315" s="11">
        <f>WEEKDAY([1]Dataset!$A315)</f>
        <v>7</v>
      </c>
      <c r="J315" s="12">
        <f>[1]Dataset!$D315-[1]Dataset!$C315</f>
        <v>200</v>
      </c>
    </row>
    <row r="316" spans="1:10" x14ac:dyDescent="0.25">
      <c r="A316" s="5">
        <v>44394</v>
      </c>
      <c r="B316" s="6" t="s">
        <v>14</v>
      </c>
      <c r="C316" s="6">
        <v>5</v>
      </c>
      <c r="D316" s="6"/>
      <c r="E316" s="6" t="s">
        <v>15</v>
      </c>
      <c r="F316" s="6" t="s">
        <v>16</v>
      </c>
      <c r="G316" s="6" t="s">
        <v>17</v>
      </c>
      <c r="H316" s="6">
        <f>MONTH([1]Dataset!$A316)</f>
        <v>7</v>
      </c>
      <c r="I316" s="7">
        <f>WEEKDAY([1]Dataset!$A316)</f>
        <v>7</v>
      </c>
      <c r="J316" s="8">
        <f>[1]Dataset!$D316-[1]Dataset!$C316</f>
        <v>-5</v>
      </c>
    </row>
    <row r="317" spans="1:10" x14ac:dyDescent="0.25">
      <c r="A317" s="9">
        <v>44395</v>
      </c>
      <c r="B317" s="10" t="s">
        <v>14</v>
      </c>
      <c r="C317" s="10">
        <v>5</v>
      </c>
      <c r="D317" s="10"/>
      <c r="E317" s="10" t="s">
        <v>15</v>
      </c>
      <c r="F317" s="10" t="s">
        <v>16</v>
      </c>
      <c r="G317" s="10" t="s">
        <v>17</v>
      </c>
      <c r="H317" s="10">
        <f>MONTH([1]Dataset!$A317)</f>
        <v>7</v>
      </c>
      <c r="I317" s="11">
        <f>WEEKDAY([1]Dataset!$A317)</f>
        <v>1</v>
      </c>
      <c r="J317" s="12">
        <f>[1]Dataset!$D317-[1]Dataset!$C317</f>
        <v>-5</v>
      </c>
    </row>
    <row r="318" spans="1:10" x14ac:dyDescent="0.25">
      <c r="A318" s="5">
        <v>44395</v>
      </c>
      <c r="B318" s="6" t="s">
        <v>42</v>
      </c>
      <c r="C318" s="6">
        <v>40</v>
      </c>
      <c r="D318" s="6"/>
      <c r="E318" s="6" t="s">
        <v>42</v>
      </c>
      <c r="F318" s="6" t="s">
        <v>20</v>
      </c>
      <c r="G318" s="6" t="s">
        <v>17</v>
      </c>
      <c r="H318" s="6">
        <f>MONTH([1]Dataset!$A318)</f>
        <v>7</v>
      </c>
      <c r="I318" s="7">
        <f>WEEKDAY([1]Dataset!$A318)</f>
        <v>1</v>
      </c>
      <c r="J318" s="8">
        <f>[1]Dataset!$D318-[1]Dataset!$C318</f>
        <v>-40</v>
      </c>
    </row>
    <row r="319" spans="1:10" x14ac:dyDescent="0.25">
      <c r="A319" s="9">
        <v>44396</v>
      </c>
      <c r="B319" s="10" t="s">
        <v>43</v>
      </c>
      <c r="C319" s="10">
        <v>51.1</v>
      </c>
      <c r="D319" s="10"/>
      <c r="E319" s="10" t="s">
        <v>44</v>
      </c>
      <c r="F319" s="10" t="s">
        <v>31</v>
      </c>
      <c r="G319" s="10" t="s">
        <v>17</v>
      </c>
      <c r="H319" s="10">
        <f>MONTH([1]Dataset!$A319)</f>
        <v>7</v>
      </c>
      <c r="I319" s="11">
        <f>WEEKDAY([1]Dataset!$A319)</f>
        <v>2</v>
      </c>
      <c r="J319" s="12">
        <f>[1]Dataset!$D319-[1]Dataset!$C319</f>
        <v>-51.1</v>
      </c>
    </row>
    <row r="320" spans="1:10" x14ac:dyDescent="0.25">
      <c r="A320" s="5">
        <v>44396</v>
      </c>
      <c r="B320" s="6" t="s">
        <v>45</v>
      </c>
      <c r="C320" s="6">
        <v>35</v>
      </c>
      <c r="D320" s="6"/>
      <c r="E320" s="6" t="s">
        <v>30</v>
      </c>
      <c r="F320" s="6" t="s">
        <v>31</v>
      </c>
      <c r="G320" s="6" t="s">
        <v>17</v>
      </c>
      <c r="H320" s="6">
        <f>MONTH([1]Dataset!$A320)</f>
        <v>7</v>
      </c>
      <c r="I320" s="7">
        <f>WEEKDAY([1]Dataset!$A320)</f>
        <v>2</v>
      </c>
      <c r="J320" s="8">
        <f>[1]Dataset!$D320-[1]Dataset!$C320</f>
        <v>-35</v>
      </c>
    </row>
    <row r="321" spans="1:10" x14ac:dyDescent="0.25">
      <c r="A321" s="9">
        <v>44396</v>
      </c>
      <c r="B321" s="10" t="s">
        <v>14</v>
      </c>
      <c r="C321" s="10">
        <v>5</v>
      </c>
      <c r="D321" s="10"/>
      <c r="E321" s="10" t="s">
        <v>15</v>
      </c>
      <c r="F321" s="10" t="s">
        <v>16</v>
      </c>
      <c r="G321" s="10" t="s">
        <v>17</v>
      </c>
      <c r="H321" s="10">
        <f>MONTH([1]Dataset!$A321)</f>
        <v>7</v>
      </c>
      <c r="I321" s="11">
        <f>WEEKDAY([1]Dataset!$A321)</f>
        <v>2</v>
      </c>
      <c r="J321" s="12">
        <f>[1]Dataset!$D321-[1]Dataset!$C321</f>
        <v>-5</v>
      </c>
    </row>
    <row r="322" spans="1:10" x14ac:dyDescent="0.25">
      <c r="A322" s="5">
        <v>44397</v>
      </c>
      <c r="B322" s="6" t="s">
        <v>14</v>
      </c>
      <c r="C322" s="6">
        <v>5</v>
      </c>
      <c r="D322" s="6"/>
      <c r="E322" s="6" t="s">
        <v>15</v>
      </c>
      <c r="F322" s="6" t="s">
        <v>16</v>
      </c>
      <c r="G322" s="6" t="s">
        <v>17</v>
      </c>
      <c r="H322" s="6">
        <f>MONTH([1]Dataset!$A322)</f>
        <v>7</v>
      </c>
      <c r="I322" s="7">
        <f>WEEKDAY([1]Dataset!$A322)</f>
        <v>3</v>
      </c>
      <c r="J322" s="8">
        <f>[1]Dataset!$D322-[1]Dataset!$C322</f>
        <v>-5</v>
      </c>
    </row>
    <row r="323" spans="1:10" x14ac:dyDescent="0.25">
      <c r="A323" s="9">
        <v>44398</v>
      </c>
      <c r="B323" s="10" t="s">
        <v>14</v>
      </c>
      <c r="C323" s="10">
        <v>5</v>
      </c>
      <c r="D323" s="10"/>
      <c r="E323" s="10" t="s">
        <v>15</v>
      </c>
      <c r="F323" s="10" t="s">
        <v>16</v>
      </c>
      <c r="G323" s="10" t="s">
        <v>17</v>
      </c>
      <c r="H323" s="10">
        <f>MONTH([1]Dataset!$A323)</f>
        <v>7</v>
      </c>
      <c r="I323" s="11">
        <f>WEEKDAY([1]Dataset!$A323)</f>
        <v>4</v>
      </c>
      <c r="J323" s="12">
        <f>[1]Dataset!$D323-[1]Dataset!$C323</f>
        <v>-5</v>
      </c>
    </row>
    <row r="324" spans="1:10" x14ac:dyDescent="0.25">
      <c r="A324" s="5">
        <v>44398</v>
      </c>
      <c r="B324" s="6" t="s">
        <v>24</v>
      </c>
      <c r="C324" s="6">
        <v>176</v>
      </c>
      <c r="D324" s="6"/>
      <c r="E324" s="6" t="s">
        <v>25</v>
      </c>
      <c r="F324" s="6" t="s">
        <v>20</v>
      </c>
      <c r="G324" s="6" t="s">
        <v>17</v>
      </c>
      <c r="H324" s="6">
        <f>MONTH([1]Dataset!$A324)</f>
        <v>7</v>
      </c>
      <c r="I324" s="7">
        <f>WEEKDAY([1]Dataset!$A324)</f>
        <v>4</v>
      </c>
      <c r="J324" s="8">
        <f>[1]Dataset!$D324-[1]Dataset!$C324</f>
        <v>-176</v>
      </c>
    </row>
    <row r="325" spans="1:10" x14ac:dyDescent="0.25">
      <c r="A325" s="9">
        <v>44399</v>
      </c>
      <c r="B325" s="10" t="s">
        <v>46</v>
      </c>
      <c r="C325" s="10">
        <v>43.1</v>
      </c>
      <c r="D325" s="10"/>
      <c r="E325" s="10" t="s">
        <v>35</v>
      </c>
      <c r="F325" s="10" t="s">
        <v>16</v>
      </c>
      <c r="G325" s="10" t="s">
        <v>17</v>
      </c>
      <c r="H325" s="10">
        <f>MONTH([1]Dataset!$A325)</f>
        <v>7</v>
      </c>
      <c r="I325" s="11">
        <f>WEEKDAY([1]Dataset!$A325)</f>
        <v>5</v>
      </c>
      <c r="J325" s="12">
        <f>[1]Dataset!$D325-[1]Dataset!$C325</f>
        <v>-43.1</v>
      </c>
    </row>
    <row r="326" spans="1:10" x14ac:dyDescent="0.25">
      <c r="A326" s="5">
        <v>44400</v>
      </c>
      <c r="B326" s="6" t="s">
        <v>47</v>
      </c>
      <c r="C326" s="6">
        <v>18.2</v>
      </c>
      <c r="D326" s="6"/>
      <c r="E326" s="6" t="s">
        <v>35</v>
      </c>
      <c r="F326" s="6" t="s">
        <v>16</v>
      </c>
      <c r="G326" s="6" t="s">
        <v>17</v>
      </c>
      <c r="H326" s="6">
        <f>MONTH([1]Dataset!$A326)</f>
        <v>7</v>
      </c>
      <c r="I326" s="7">
        <f>WEEKDAY([1]Dataset!$A326)</f>
        <v>6</v>
      </c>
      <c r="J326" s="8">
        <f>[1]Dataset!$D326-[1]Dataset!$C326</f>
        <v>-18.2</v>
      </c>
    </row>
    <row r="327" spans="1:10" x14ac:dyDescent="0.25">
      <c r="A327" s="9">
        <v>44401</v>
      </c>
      <c r="B327" s="10" t="s">
        <v>48</v>
      </c>
      <c r="C327" s="10">
        <v>55</v>
      </c>
      <c r="D327" s="10"/>
      <c r="E327" s="10" t="s">
        <v>49</v>
      </c>
      <c r="F327" s="10" t="s">
        <v>50</v>
      </c>
      <c r="G327" s="10" t="s">
        <v>17</v>
      </c>
      <c r="H327" s="10">
        <f>MONTH([1]Dataset!$A327)</f>
        <v>7</v>
      </c>
      <c r="I327" s="11">
        <f>WEEKDAY([1]Dataset!$A327)</f>
        <v>7</v>
      </c>
      <c r="J327" s="12">
        <f>[1]Dataset!$D327-[1]Dataset!$C327</f>
        <v>-55</v>
      </c>
    </row>
    <row r="328" spans="1:10" x14ac:dyDescent="0.25">
      <c r="A328" s="5">
        <v>44401</v>
      </c>
      <c r="B328" s="6" t="s">
        <v>28</v>
      </c>
      <c r="C328" s="6">
        <v>68.800000000000011</v>
      </c>
      <c r="D328" s="6"/>
      <c r="E328" s="6" t="s">
        <v>51</v>
      </c>
      <c r="F328" s="6" t="s">
        <v>23</v>
      </c>
      <c r="G328" s="6" t="s">
        <v>17</v>
      </c>
      <c r="H328" s="6">
        <f>MONTH([1]Dataset!$A328)</f>
        <v>7</v>
      </c>
      <c r="I328" s="7">
        <f>WEEKDAY([1]Dataset!$A328)</f>
        <v>7</v>
      </c>
      <c r="J328" s="8">
        <f>[1]Dataset!$D328-[1]Dataset!$C328</f>
        <v>-68.800000000000011</v>
      </c>
    </row>
    <row r="329" spans="1:10" x14ac:dyDescent="0.25">
      <c r="A329" s="9">
        <v>44401</v>
      </c>
      <c r="B329" s="10" t="s">
        <v>14</v>
      </c>
      <c r="C329" s="10">
        <v>5</v>
      </c>
      <c r="D329" s="10"/>
      <c r="E329" s="10" t="s">
        <v>15</v>
      </c>
      <c r="F329" s="10" t="s">
        <v>16</v>
      </c>
      <c r="G329" s="10" t="s">
        <v>17</v>
      </c>
      <c r="H329" s="10">
        <f>MONTH([1]Dataset!$A329)</f>
        <v>7</v>
      </c>
      <c r="I329" s="11">
        <f>WEEKDAY([1]Dataset!$A329)</f>
        <v>7</v>
      </c>
      <c r="J329" s="12">
        <f>[1]Dataset!$D329-[1]Dataset!$C329</f>
        <v>-5</v>
      </c>
    </row>
    <row r="330" spans="1:10" x14ac:dyDescent="0.25">
      <c r="A330" s="5">
        <v>44402</v>
      </c>
      <c r="B330" s="6" t="s">
        <v>14</v>
      </c>
      <c r="C330" s="6">
        <v>5</v>
      </c>
      <c r="D330" s="6"/>
      <c r="E330" s="6" t="s">
        <v>15</v>
      </c>
      <c r="F330" s="6" t="s">
        <v>16</v>
      </c>
      <c r="G330" s="6" t="s">
        <v>17</v>
      </c>
      <c r="H330" s="6">
        <f>MONTH([1]Dataset!$A330)</f>
        <v>7</v>
      </c>
      <c r="I330" s="7">
        <f>WEEKDAY([1]Dataset!$A330)</f>
        <v>1</v>
      </c>
      <c r="J330" s="8">
        <f>[1]Dataset!$D330-[1]Dataset!$C330</f>
        <v>-5</v>
      </c>
    </row>
    <row r="331" spans="1:10" x14ac:dyDescent="0.25">
      <c r="A331" s="9">
        <v>44403</v>
      </c>
      <c r="B331" s="10" t="s">
        <v>14</v>
      </c>
      <c r="C331" s="10">
        <v>5</v>
      </c>
      <c r="D331" s="10"/>
      <c r="E331" s="10" t="s">
        <v>15</v>
      </c>
      <c r="F331" s="10" t="s">
        <v>16</v>
      </c>
      <c r="G331" s="10" t="s">
        <v>17</v>
      </c>
      <c r="H331" s="10">
        <f>MONTH([1]Dataset!$A331)</f>
        <v>7</v>
      </c>
      <c r="I331" s="11">
        <f>WEEKDAY([1]Dataset!$A331)</f>
        <v>2</v>
      </c>
      <c r="J331" s="12">
        <f>[1]Dataset!$D331-[1]Dataset!$C331</f>
        <v>-5</v>
      </c>
    </row>
    <row r="332" spans="1:10" x14ac:dyDescent="0.25">
      <c r="A332" s="5">
        <v>44404</v>
      </c>
      <c r="B332" s="6" t="s">
        <v>14</v>
      </c>
      <c r="C332" s="6">
        <v>5</v>
      </c>
      <c r="D332" s="6"/>
      <c r="E332" s="6" t="s">
        <v>15</v>
      </c>
      <c r="F332" s="6" t="s">
        <v>16</v>
      </c>
      <c r="G332" s="6" t="s">
        <v>17</v>
      </c>
      <c r="H332" s="6">
        <f>MONTH([1]Dataset!$A332)</f>
        <v>7</v>
      </c>
      <c r="I332" s="7">
        <f>WEEKDAY([1]Dataset!$A332)</f>
        <v>3</v>
      </c>
      <c r="J332" s="8">
        <f>[1]Dataset!$D332-[1]Dataset!$C332</f>
        <v>-5</v>
      </c>
    </row>
    <row r="333" spans="1:10" x14ac:dyDescent="0.25">
      <c r="A333" s="9">
        <v>44405</v>
      </c>
      <c r="B333" s="10" t="s">
        <v>14</v>
      </c>
      <c r="C333" s="10">
        <v>5</v>
      </c>
      <c r="D333" s="10"/>
      <c r="E333" s="10" t="s">
        <v>15</v>
      </c>
      <c r="F333" s="10" t="s">
        <v>16</v>
      </c>
      <c r="G333" s="10" t="s">
        <v>17</v>
      </c>
      <c r="H333" s="10">
        <f>MONTH([1]Dataset!$A333)</f>
        <v>7</v>
      </c>
      <c r="I333" s="11">
        <f>WEEKDAY([1]Dataset!$A333)</f>
        <v>4</v>
      </c>
      <c r="J333" s="12">
        <f>[1]Dataset!$D333-[1]Dataset!$C333</f>
        <v>-5</v>
      </c>
    </row>
    <row r="334" spans="1:10" x14ac:dyDescent="0.25">
      <c r="A334" s="5">
        <v>44405</v>
      </c>
      <c r="B334" s="6" t="s">
        <v>24</v>
      </c>
      <c r="C334" s="6">
        <v>193</v>
      </c>
      <c r="D334" s="6"/>
      <c r="E334" s="6" t="s">
        <v>25</v>
      </c>
      <c r="F334" s="6" t="s">
        <v>20</v>
      </c>
      <c r="G334" s="6" t="s">
        <v>17</v>
      </c>
      <c r="H334" s="6">
        <f>MONTH([1]Dataset!$A334)</f>
        <v>7</v>
      </c>
      <c r="I334" s="7">
        <f>WEEKDAY([1]Dataset!$A334)</f>
        <v>4</v>
      </c>
      <c r="J334" s="8">
        <f>[1]Dataset!$D334-[1]Dataset!$C334</f>
        <v>-193</v>
      </c>
    </row>
    <row r="335" spans="1:10" x14ac:dyDescent="0.25">
      <c r="A335" s="9">
        <v>44406</v>
      </c>
      <c r="B335" s="10" t="s">
        <v>52</v>
      </c>
      <c r="C335" s="10">
        <v>130.80000000000001</v>
      </c>
      <c r="D335" s="10"/>
      <c r="E335" s="10" t="s">
        <v>33</v>
      </c>
      <c r="F335" s="10" t="s">
        <v>31</v>
      </c>
      <c r="G335" s="10" t="s">
        <v>17</v>
      </c>
      <c r="H335" s="10">
        <f>MONTH([1]Dataset!$A335)</f>
        <v>7</v>
      </c>
      <c r="I335" s="11">
        <f>WEEKDAY([1]Dataset!$A335)</f>
        <v>5</v>
      </c>
      <c r="J335" s="12">
        <f>[1]Dataset!$D335-[1]Dataset!$C335</f>
        <v>-130.80000000000001</v>
      </c>
    </row>
    <row r="336" spans="1:10" x14ac:dyDescent="0.25">
      <c r="A336" s="5">
        <v>44406</v>
      </c>
      <c r="B336" s="6" t="s">
        <v>61</v>
      </c>
      <c r="C336" s="6">
        <v>181.39999999999998</v>
      </c>
      <c r="D336" s="6"/>
      <c r="E336" s="6" t="s">
        <v>62</v>
      </c>
      <c r="F336" s="6" t="s">
        <v>31</v>
      </c>
      <c r="G336" s="6" t="s">
        <v>17</v>
      </c>
      <c r="H336" s="6">
        <f>MONTH([1]Dataset!$A336)</f>
        <v>7</v>
      </c>
      <c r="I336" s="7">
        <f>WEEKDAY([1]Dataset!$A336)</f>
        <v>5</v>
      </c>
      <c r="J336" s="8">
        <f>[1]Dataset!$D336-[1]Dataset!$C336</f>
        <v>-181.39999999999998</v>
      </c>
    </row>
    <row r="337" spans="1:10" x14ac:dyDescent="0.25">
      <c r="A337" s="9">
        <v>44407</v>
      </c>
      <c r="B337" s="10" t="s">
        <v>32</v>
      </c>
      <c r="C337" s="10">
        <v>151.19999999999999</v>
      </c>
      <c r="D337" s="10"/>
      <c r="E337" s="10" t="s">
        <v>33</v>
      </c>
      <c r="F337" s="10" t="s">
        <v>31</v>
      </c>
      <c r="G337" s="10" t="s">
        <v>17</v>
      </c>
      <c r="H337" s="10">
        <f>MONTH([1]Dataset!$A337)</f>
        <v>7</v>
      </c>
      <c r="I337" s="11">
        <f>WEEKDAY([1]Dataset!$A337)</f>
        <v>6</v>
      </c>
      <c r="J337" s="12">
        <f>[1]Dataset!$D337-[1]Dataset!$C337</f>
        <v>-151.19999999999999</v>
      </c>
    </row>
    <row r="338" spans="1:10" x14ac:dyDescent="0.25">
      <c r="A338" s="5">
        <v>44407</v>
      </c>
      <c r="B338" s="6" t="s">
        <v>36</v>
      </c>
      <c r="C338" s="6">
        <v>29.300000000000004</v>
      </c>
      <c r="D338" s="6"/>
      <c r="E338" s="6" t="s">
        <v>37</v>
      </c>
      <c r="F338" s="6" t="s">
        <v>23</v>
      </c>
      <c r="G338" s="6" t="s">
        <v>17</v>
      </c>
      <c r="H338" s="6">
        <f>MONTH([1]Dataset!$A338)</f>
        <v>7</v>
      </c>
      <c r="I338" s="7">
        <f>WEEKDAY([1]Dataset!$A338)</f>
        <v>6</v>
      </c>
      <c r="J338" s="8">
        <f>[1]Dataset!$D338-[1]Dataset!$C338</f>
        <v>-29.300000000000004</v>
      </c>
    </row>
    <row r="339" spans="1:10" x14ac:dyDescent="0.25">
      <c r="A339" s="9">
        <v>44407</v>
      </c>
      <c r="B339" s="10" t="s">
        <v>59</v>
      </c>
      <c r="C339" s="10">
        <v>15</v>
      </c>
      <c r="D339" s="10"/>
      <c r="E339" s="10" t="s">
        <v>35</v>
      </c>
      <c r="F339" s="10" t="s">
        <v>16</v>
      </c>
      <c r="G339" s="10" t="s">
        <v>17</v>
      </c>
      <c r="H339" s="10">
        <f>MONTH([1]Dataset!$A339)</f>
        <v>7</v>
      </c>
      <c r="I339" s="11">
        <f>WEEKDAY([1]Dataset!$A339)</f>
        <v>6</v>
      </c>
      <c r="J339" s="12">
        <f>[1]Dataset!$D339-[1]Dataset!$C339</f>
        <v>-15</v>
      </c>
    </row>
    <row r="340" spans="1:10" x14ac:dyDescent="0.25">
      <c r="A340" s="5">
        <v>44408</v>
      </c>
      <c r="B340" s="6" t="s">
        <v>14</v>
      </c>
      <c r="C340" s="6">
        <v>5</v>
      </c>
      <c r="D340" s="6"/>
      <c r="E340" s="6" t="s">
        <v>15</v>
      </c>
      <c r="F340" s="6" t="s">
        <v>16</v>
      </c>
      <c r="G340" s="6" t="s">
        <v>17</v>
      </c>
      <c r="H340" s="6">
        <f>MONTH([1]Dataset!$A340)</f>
        <v>7</v>
      </c>
      <c r="I340" s="7">
        <f>WEEKDAY([1]Dataset!$A340)</f>
        <v>7</v>
      </c>
      <c r="J340" s="8">
        <f>[1]Dataset!$D340-[1]Dataset!$C340</f>
        <v>-5</v>
      </c>
    </row>
    <row r="341" spans="1:10" x14ac:dyDescent="0.25">
      <c r="A341" s="9">
        <v>44410</v>
      </c>
      <c r="B341" s="10" t="s">
        <v>14</v>
      </c>
      <c r="C341" s="10">
        <v>5</v>
      </c>
      <c r="D341" s="10"/>
      <c r="E341" s="10" t="s">
        <v>15</v>
      </c>
      <c r="F341" s="10" t="s">
        <v>16</v>
      </c>
      <c r="G341" s="10" t="s">
        <v>17</v>
      </c>
      <c r="H341" s="10">
        <f>MONTH([1]Dataset!$A341)</f>
        <v>8</v>
      </c>
      <c r="I341" s="11">
        <f>WEEKDAY([1]Dataset!$A341)</f>
        <v>2</v>
      </c>
      <c r="J341" s="12">
        <f>[1]Dataset!$D341-[1]Dataset!$C341</f>
        <v>-5</v>
      </c>
    </row>
    <row r="342" spans="1:10" x14ac:dyDescent="0.25">
      <c r="A342" s="5">
        <v>44410</v>
      </c>
      <c r="B342" s="6" t="s">
        <v>10</v>
      </c>
      <c r="C342" s="6"/>
      <c r="D342" s="6">
        <v>5000</v>
      </c>
      <c r="E342" s="6" t="s">
        <v>11</v>
      </c>
      <c r="F342" s="6" t="s">
        <v>12</v>
      </c>
      <c r="G342" s="6" t="s">
        <v>13</v>
      </c>
      <c r="H342" s="6">
        <f>MONTH([1]Dataset!$A342)</f>
        <v>8</v>
      </c>
      <c r="I342" s="7">
        <f>WEEKDAY([1]Dataset!$A342)</f>
        <v>2</v>
      </c>
      <c r="J342" s="8">
        <f>[1]Dataset!$D342-[1]Dataset!$C342</f>
        <v>5000</v>
      </c>
    </row>
    <row r="343" spans="1:10" x14ac:dyDescent="0.25">
      <c r="A343" s="9">
        <v>44411</v>
      </c>
      <c r="B343" s="10" t="s">
        <v>14</v>
      </c>
      <c r="C343" s="10">
        <v>5</v>
      </c>
      <c r="D343" s="10"/>
      <c r="E343" s="10" t="s">
        <v>15</v>
      </c>
      <c r="F343" s="10" t="s">
        <v>16</v>
      </c>
      <c r="G343" s="10" t="s">
        <v>17</v>
      </c>
      <c r="H343" s="10">
        <f>MONTH([1]Dataset!$A343)</f>
        <v>8</v>
      </c>
      <c r="I343" s="11">
        <f>WEEKDAY([1]Dataset!$A343)</f>
        <v>3</v>
      </c>
      <c r="J343" s="12">
        <f>[1]Dataset!$D343-[1]Dataset!$C343</f>
        <v>-5</v>
      </c>
    </row>
    <row r="344" spans="1:10" x14ac:dyDescent="0.25">
      <c r="A344" s="5">
        <v>44413</v>
      </c>
      <c r="B344" s="6" t="s">
        <v>18</v>
      </c>
      <c r="C344" s="6">
        <v>900</v>
      </c>
      <c r="D344" s="6"/>
      <c r="E344" s="6" t="s">
        <v>19</v>
      </c>
      <c r="F344" s="6" t="s">
        <v>20</v>
      </c>
      <c r="G344" s="6" t="s">
        <v>17</v>
      </c>
      <c r="H344" s="6">
        <f>MONTH([1]Dataset!$A344)</f>
        <v>8</v>
      </c>
      <c r="I344" s="7">
        <f>WEEKDAY([1]Dataset!$A344)</f>
        <v>5</v>
      </c>
      <c r="J344" s="8">
        <f>[1]Dataset!$D344-[1]Dataset!$C344</f>
        <v>-900</v>
      </c>
    </row>
    <row r="345" spans="1:10" x14ac:dyDescent="0.25">
      <c r="A345" s="9">
        <v>44413</v>
      </c>
      <c r="B345" s="10" t="s">
        <v>21</v>
      </c>
      <c r="C345" s="10">
        <v>150</v>
      </c>
      <c r="D345" s="10"/>
      <c r="E345" s="10" t="s">
        <v>22</v>
      </c>
      <c r="F345" s="10" t="s">
        <v>23</v>
      </c>
      <c r="G345" s="10" t="s">
        <v>17</v>
      </c>
      <c r="H345" s="10">
        <f>MONTH([1]Dataset!$A345)</f>
        <v>8</v>
      </c>
      <c r="I345" s="11">
        <f>WEEKDAY([1]Dataset!$A345)</f>
        <v>5</v>
      </c>
      <c r="J345" s="12">
        <f>[1]Dataset!$D345-[1]Dataset!$C345</f>
        <v>-150</v>
      </c>
    </row>
    <row r="346" spans="1:10" x14ac:dyDescent="0.25">
      <c r="A346" s="5">
        <v>44413</v>
      </c>
      <c r="B346" s="6" t="s">
        <v>14</v>
      </c>
      <c r="C346" s="6">
        <v>5</v>
      </c>
      <c r="D346" s="6"/>
      <c r="E346" s="6" t="s">
        <v>15</v>
      </c>
      <c r="F346" s="6" t="s">
        <v>16</v>
      </c>
      <c r="G346" s="6" t="s">
        <v>17</v>
      </c>
      <c r="H346" s="6">
        <f>MONTH([1]Dataset!$A346)</f>
        <v>8</v>
      </c>
      <c r="I346" s="7">
        <f>WEEKDAY([1]Dataset!$A346)</f>
        <v>5</v>
      </c>
      <c r="J346" s="8">
        <f>[1]Dataset!$D346-[1]Dataset!$C346</f>
        <v>-5</v>
      </c>
    </row>
    <row r="347" spans="1:10" x14ac:dyDescent="0.25">
      <c r="A347" s="9">
        <v>44413</v>
      </c>
      <c r="B347" s="10" t="s">
        <v>14</v>
      </c>
      <c r="C347" s="10">
        <v>5</v>
      </c>
      <c r="D347" s="10"/>
      <c r="E347" s="10" t="s">
        <v>15</v>
      </c>
      <c r="F347" s="10" t="s">
        <v>16</v>
      </c>
      <c r="G347" s="10" t="s">
        <v>17</v>
      </c>
      <c r="H347" s="10">
        <f>MONTH([1]Dataset!$A347)</f>
        <v>8</v>
      </c>
      <c r="I347" s="11">
        <f>WEEKDAY([1]Dataset!$A347)</f>
        <v>5</v>
      </c>
      <c r="J347" s="12">
        <f>[1]Dataset!$D347-[1]Dataset!$C347</f>
        <v>-5</v>
      </c>
    </row>
    <row r="348" spans="1:10" x14ac:dyDescent="0.25">
      <c r="A348" s="5">
        <v>44414</v>
      </c>
      <c r="B348" s="6" t="s">
        <v>14</v>
      </c>
      <c r="C348" s="6">
        <v>5</v>
      </c>
      <c r="D348" s="6"/>
      <c r="E348" s="6" t="s">
        <v>15</v>
      </c>
      <c r="F348" s="6" t="s">
        <v>16</v>
      </c>
      <c r="G348" s="6" t="s">
        <v>17</v>
      </c>
      <c r="H348" s="6">
        <f>MONTH([1]Dataset!$A348)</f>
        <v>8</v>
      </c>
      <c r="I348" s="7">
        <f>WEEKDAY([1]Dataset!$A348)</f>
        <v>6</v>
      </c>
      <c r="J348" s="8">
        <f>[1]Dataset!$D348-[1]Dataset!$C348</f>
        <v>-5</v>
      </c>
    </row>
    <row r="349" spans="1:10" x14ac:dyDescent="0.25">
      <c r="A349" s="9">
        <v>44415</v>
      </c>
      <c r="B349" s="10" t="s">
        <v>14</v>
      </c>
      <c r="C349" s="10">
        <v>5</v>
      </c>
      <c r="D349" s="10"/>
      <c r="E349" s="10" t="s">
        <v>15</v>
      </c>
      <c r="F349" s="10" t="s">
        <v>16</v>
      </c>
      <c r="G349" s="10" t="s">
        <v>17</v>
      </c>
      <c r="H349" s="10">
        <f>MONTH([1]Dataset!$A349)</f>
        <v>8</v>
      </c>
      <c r="I349" s="11">
        <f>WEEKDAY([1]Dataset!$A349)</f>
        <v>7</v>
      </c>
      <c r="J349" s="12">
        <f>[1]Dataset!$D349-[1]Dataset!$C349</f>
        <v>-5</v>
      </c>
    </row>
    <row r="350" spans="1:10" x14ac:dyDescent="0.25">
      <c r="A350" s="5">
        <v>44415</v>
      </c>
      <c r="B350" s="6" t="s">
        <v>24</v>
      </c>
      <c r="C350" s="6">
        <v>137</v>
      </c>
      <c r="D350" s="6"/>
      <c r="E350" s="6" t="s">
        <v>25</v>
      </c>
      <c r="F350" s="6" t="s">
        <v>20</v>
      </c>
      <c r="G350" s="6" t="s">
        <v>17</v>
      </c>
      <c r="H350" s="6">
        <f>MONTH([1]Dataset!$A350)</f>
        <v>8</v>
      </c>
      <c r="I350" s="7">
        <f>WEEKDAY([1]Dataset!$A350)</f>
        <v>7</v>
      </c>
      <c r="J350" s="8">
        <f>[1]Dataset!$D350-[1]Dataset!$C350</f>
        <v>-137</v>
      </c>
    </row>
    <row r="351" spans="1:10" x14ac:dyDescent="0.25">
      <c r="A351" s="9">
        <v>44418</v>
      </c>
      <c r="B351" s="10" t="s">
        <v>26</v>
      </c>
      <c r="C351" s="10">
        <v>57</v>
      </c>
      <c r="D351" s="10"/>
      <c r="E351" s="10" t="s">
        <v>27</v>
      </c>
      <c r="F351" s="10" t="s">
        <v>20</v>
      </c>
      <c r="G351" s="10" t="s">
        <v>17</v>
      </c>
      <c r="H351" s="10">
        <f>MONTH([1]Dataset!$A351)</f>
        <v>8</v>
      </c>
      <c r="I351" s="11">
        <f>WEEKDAY([1]Dataset!$A351)</f>
        <v>3</v>
      </c>
      <c r="J351" s="12">
        <f>[1]Dataset!$D351-[1]Dataset!$C351</f>
        <v>-57</v>
      </c>
    </row>
    <row r="352" spans="1:10" x14ac:dyDescent="0.25">
      <c r="A352" s="5">
        <v>44418</v>
      </c>
      <c r="B352" s="6" t="s">
        <v>14</v>
      </c>
      <c r="C352" s="6">
        <v>5</v>
      </c>
      <c r="D352" s="6"/>
      <c r="E352" s="6" t="s">
        <v>15</v>
      </c>
      <c r="F352" s="6" t="s">
        <v>16</v>
      </c>
      <c r="G352" s="6" t="s">
        <v>17</v>
      </c>
      <c r="H352" s="6">
        <f>MONTH([1]Dataset!$A352)</f>
        <v>8</v>
      </c>
      <c r="I352" s="7">
        <f>WEEKDAY([1]Dataset!$A352)</f>
        <v>3</v>
      </c>
      <c r="J352" s="8">
        <f>[1]Dataset!$D352-[1]Dataset!$C352</f>
        <v>-5</v>
      </c>
    </row>
    <row r="353" spans="1:10" x14ac:dyDescent="0.25">
      <c r="A353" s="9">
        <v>44419</v>
      </c>
      <c r="B353" s="10" t="s">
        <v>14</v>
      </c>
      <c r="C353" s="10">
        <v>5</v>
      </c>
      <c r="D353" s="10"/>
      <c r="E353" s="10" t="s">
        <v>15</v>
      </c>
      <c r="F353" s="10" t="s">
        <v>16</v>
      </c>
      <c r="G353" s="10" t="s">
        <v>17</v>
      </c>
      <c r="H353" s="10">
        <f>MONTH([1]Dataset!$A353)</f>
        <v>8</v>
      </c>
      <c r="I353" s="11">
        <f>WEEKDAY([1]Dataset!$A353)</f>
        <v>4</v>
      </c>
      <c r="J353" s="12">
        <f>[1]Dataset!$D353-[1]Dataset!$C353</f>
        <v>-5</v>
      </c>
    </row>
    <row r="354" spans="1:10" x14ac:dyDescent="0.25">
      <c r="A354" s="5">
        <v>44420</v>
      </c>
      <c r="B354" s="6" t="s">
        <v>28</v>
      </c>
      <c r="C354" s="6">
        <v>84.199999999999989</v>
      </c>
      <c r="D354" s="6"/>
      <c r="E354" s="6" t="s">
        <v>51</v>
      </c>
      <c r="F354" s="6" t="s">
        <v>23</v>
      </c>
      <c r="G354" s="6" t="s">
        <v>17</v>
      </c>
      <c r="H354" s="6">
        <f>MONTH([1]Dataset!$A354)</f>
        <v>8</v>
      </c>
      <c r="I354" s="7">
        <f>WEEKDAY([1]Dataset!$A354)</f>
        <v>5</v>
      </c>
      <c r="J354" s="8">
        <f>[1]Dataset!$D354-[1]Dataset!$C354</f>
        <v>-84.199999999999989</v>
      </c>
    </row>
    <row r="355" spans="1:10" x14ac:dyDescent="0.25">
      <c r="A355" s="9">
        <v>44420</v>
      </c>
      <c r="B355" s="10" t="s">
        <v>14</v>
      </c>
      <c r="C355" s="10">
        <v>5</v>
      </c>
      <c r="D355" s="10"/>
      <c r="E355" s="10" t="s">
        <v>15</v>
      </c>
      <c r="F355" s="10" t="s">
        <v>16</v>
      </c>
      <c r="G355" s="10" t="s">
        <v>17</v>
      </c>
      <c r="H355" s="10">
        <f>MONTH([1]Dataset!$A355)</f>
        <v>8</v>
      </c>
      <c r="I355" s="11">
        <f>WEEKDAY([1]Dataset!$A355)</f>
        <v>5</v>
      </c>
      <c r="J355" s="12">
        <f>[1]Dataset!$D355-[1]Dataset!$C355</f>
        <v>-5</v>
      </c>
    </row>
    <row r="356" spans="1:10" x14ac:dyDescent="0.25">
      <c r="A356" s="5">
        <v>44421</v>
      </c>
      <c r="B356" s="6" t="s">
        <v>14</v>
      </c>
      <c r="C356" s="6">
        <v>5</v>
      </c>
      <c r="D356" s="6"/>
      <c r="E356" s="6" t="s">
        <v>15</v>
      </c>
      <c r="F356" s="6" t="s">
        <v>16</v>
      </c>
      <c r="G356" s="6" t="s">
        <v>17</v>
      </c>
      <c r="H356" s="6">
        <f>MONTH([1]Dataset!$A356)</f>
        <v>8</v>
      </c>
      <c r="I356" s="7">
        <f>WEEKDAY([1]Dataset!$A356)</f>
        <v>6</v>
      </c>
      <c r="J356" s="8">
        <f>[1]Dataset!$D356-[1]Dataset!$C356</f>
        <v>-5</v>
      </c>
    </row>
    <row r="357" spans="1:10" x14ac:dyDescent="0.25">
      <c r="A357" s="9">
        <v>44422</v>
      </c>
      <c r="B357" s="10" t="s">
        <v>24</v>
      </c>
      <c r="C357" s="10">
        <v>142.1</v>
      </c>
      <c r="D357" s="10"/>
      <c r="E357" s="10" t="s">
        <v>25</v>
      </c>
      <c r="F357" s="10" t="s">
        <v>20</v>
      </c>
      <c r="G357" s="10" t="s">
        <v>17</v>
      </c>
      <c r="H357" s="10">
        <f>MONTH([1]Dataset!$A357)</f>
        <v>8</v>
      </c>
      <c r="I357" s="11">
        <f>WEEKDAY([1]Dataset!$A357)</f>
        <v>7</v>
      </c>
      <c r="J357" s="12">
        <f>[1]Dataset!$D357-[1]Dataset!$C357</f>
        <v>-142.1</v>
      </c>
    </row>
    <row r="358" spans="1:10" x14ac:dyDescent="0.25">
      <c r="A358" s="5">
        <v>44422</v>
      </c>
      <c r="B358" s="6" t="s">
        <v>14</v>
      </c>
      <c r="C358" s="6">
        <v>5</v>
      </c>
      <c r="D358" s="6"/>
      <c r="E358" s="6" t="s">
        <v>15</v>
      </c>
      <c r="F358" s="6" t="s">
        <v>16</v>
      </c>
      <c r="G358" s="6" t="s">
        <v>17</v>
      </c>
      <c r="H358" s="6">
        <f>MONTH([1]Dataset!$A358)</f>
        <v>8</v>
      </c>
      <c r="I358" s="7">
        <f>WEEKDAY([1]Dataset!$A358)</f>
        <v>7</v>
      </c>
      <c r="J358" s="8">
        <f>[1]Dataset!$D358-[1]Dataset!$C358</f>
        <v>-5</v>
      </c>
    </row>
    <row r="359" spans="1:10" x14ac:dyDescent="0.25">
      <c r="A359" s="9">
        <v>44423</v>
      </c>
      <c r="B359" s="10" t="s">
        <v>14</v>
      </c>
      <c r="C359" s="10">
        <v>5</v>
      </c>
      <c r="D359" s="10"/>
      <c r="E359" s="10" t="s">
        <v>15</v>
      </c>
      <c r="F359" s="10" t="s">
        <v>16</v>
      </c>
      <c r="G359" s="10" t="s">
        <v>17</v>
      </c>
      <c r="H359" s="10">
        <f>MONTH([1]Dataset!$A359)</f>
        <v>8</v>
      </c>
      <c r="I359" s="11">
        <f>WEEKDAY([1]Dataset!$A359)</f>
        <v>1</v>
      </c>
      <c r="J359" s="12">
        <f>[1]Dataset!$D359-[1]Dataset!$C359</f>
        <v>-5</v>
      </c>
    </row>
    <row r="360" spans="1:10" x14ac:dyDescent="0.25">
      <c r="A360" s="5">
        <v>44423</v>
      </c>
      <c r="B360" s="6" t="s">
        <v>29</v>
      </c>
      <c r="C360" s="6">
        <v>46.8</v>
      </c>
      <c r="D360" s="6"/>
      <c r="E360" s="6" t="s">
        <v>30</v>
      </c>
      <c r="F360" s="6" t="s">
        <v>31</v>
      </c>
      <c r="G360" s="6" t="s">
        <v>17</v>
      </c>
      <c r="H360" s="6">
        <f>MONTH([1]Dataset!$A360)</f>
        <v>8</v>
      </c>
      <c r="I360" s="7">
        <f>WEEKDAY([1]Dataset!$A360)</f>
        <v>1</v>
      </c>
      <c r="J360" s="8">
        <f>[1]Dataset!$D360-[1]Dataset!$C360</f>
        <v>-46.8</v>
      </c>
    </row>
    <row r="361" spans="1:10" x14ac:dyDescent="0.25">
      <c r="A361" s="9">
        <v>44423</v>
      </c>
      <c r="B361" s="10" t="s">
        <v>32</v>
      </c>
      <c r="C361" s="10">
        <v>104.70000000000002</v>
      </c>
      <c r="D361" s="10"/>
      <c r="E361" s="10" t="s">
        <v>33</v>
      </c>
      <c r="F361" s="10" t="s">
        <v>31</v>
      </c>
      <c r="G361" s="10" t="s">
        <v>17</v>
      </c>
      <c r="H361" s="10">
        <f>MONTH([1]Dataset!$A361)</f>
        <v>8</v>
      </c>
      <c r="I361" s="11">
        <f>WEEKDAY([1]Dataset!$A361)</f>
        <v>1</v>
      </c>
      <c r="J361" s="12">
        <f>[1]Dataset!$D361-[1]Dataset!$C361</f>
        <v>-104.70000000000002</v>
      </c>
    </row>
    <row r="362" spans="1:10" x14ac:dyDescent="0.25">
      <c r="A362" s="5">
        <v>44423</v>
      </c>
      <c r="B362" s="6" t="s">
        <v>34</v>
      </c>
      <c r="C362" s="6">
        <v>59.1</v>
      </c>
      <c r="D362" s="6"/>
      <c r="E362" s="6" t="s">
        <v>35</v>
      </c>
      <c r="F362" s="6" t="s">
        <v>16</v>
      </c>
      <c r="G362" s="6" t="s">
        <v>17</v>
      </c>
      <c r="H362" s="6">
        <f>MONTH([1]Dataset!$A362)</f>
        <v>8</v>
      </c>
      <c r="I362" s="7">
        <f>WEEKDAY([1]Dataset!$A362)</f>
        <v>1</v>
      </c>
      <c r="J362" s="8">
        <f>[1]Dataset!$D362-[1]Dataset!$C362</f>
        <v>-59.1</v>
      </c>
    </row>
    <row r="363" spans="1:10" x14ac:dyDescent="0.25">
      <c r="A363" s="9">
        <v>44424</v>
      </c>
      <c r="B363" s="10" t="s">
        <v>36</v>
      </c>
      <c r="C363" s="10">
        <v>35.1</v>
      </c>
      <c r="D363" s="10"/>
      <c r="E363" s="10" t="s">
        <v>37</v>
      </c>
      <c r="F363" s="10" t="s">
        <v>23</v>
      </c>
      <c r="G363" s="10" t="s">
        <v>17</v>
      </c>
      <c r="H363" s="10">
        <f>MONTH([1]Dataset!$A363)</f>
        <v>8</v>
      </c>
      <c r="I363" s="11">
        <f>WEEKDAY([1]Dataset!$A363)</f>
        <v>2</v>
      </c>
      <c r="J363" s="12">
        <f>[1]Dataset!$D363-[1]Dataset!$C363</f>
        <v>-35.1</v>
      </c>
    </row>
    <row r="364" spans="1:10" x14ac:dyDescent="0.25">
      <c r="A364" s="5">
        <v>44425</v>
      </c>
      <c r="B364" s="6" t="s">
        <v>38</v>
      </c>
      <c r="C364" s="6"/>
      <c r="D364" s="6">
        <v>800</v>
      </c>
      <c r="E364" s="6" t="s">
        <v>39</v>
      </c>
      <c r="F364" s="6" t="s">
        <v>40</v>
      </c>
      <c r="G364" s="6" t="s">
        <v>13</v>
      </c>
      <c r="H364" s="6">
        <f>MONTH([1]Dataset!$A364)</f>
        <v>8</v>
      </c>
      <c r="I364" s="7">
        <f>WEEKDAY([1]Dataset!$A364)</f>
        <v>3</v>
      </c>
      <c r="J364" s="8">
        <f>[1]Dataset!$D364-[1]Dataset!$C364</f>
        <v>800</v>
      </c>
    </row>
    <row r="365" spans="1:10" x14ac:dyDescent="0.25">
      <c r="A365" s="9">
        <v>44425</v>
      </c>
      <c r="B365" s="10" t="s">
        <v>14</v>
      </c>
      <c r="C365" s="10">
        <v>5</v>
      </c>
      <c r="D365" s="10"/>
      <c r="E365" s="10" t="s">
        <v>15</v>
      </c>
      <c r="F365" s="10" t="s">
        <v>16</v>
      </c>
      <c r="G365" s="10" t="s">
        <v>17</v>
      </c>
      <c r="H365" s="10">
        <f>MONTH([1]Dataset!$A365)</f>
        <v>8</v>
      </c>
      <c r="I365" s="11">
        <f>WEEKDAY([1]Dataset!$A365)</f>
        <v>3</v>
      </c>
      <c r="J365" s="12">
        <f>[1]Dataset!$D365-[1]Dataset!$C365</f>
        <v>-5</v>
      </c>
    </row>
    <row r="366" spans="1:10" x14ac:dyDescent="0.25">
      <c r="A366" s="5">
        <v>44426</v>
      </c>
      <c r="B366" s="6" t="s">
        <v>14</v>
      </c>
      <c r="C366" s="6">
        <v>5</v>
      </c>
      <c r="D366" s="6"/>
      <c r="E366" s="6" t="s">
        <v>15</v>
      </c>
      <c r="F366" s="6" t="s">
        <v>16</v>
      </c>
      <c r="G366" s="6" t="s">
        <v>17</v>
      </c>
      <c r="H366" s="6">
        <f>MONTH([1]Dataset!$A366)</f>
        <v>8</v>
      </c>
      <c r="I366" s="7">
        <f>WEEKDAY([1]Dataset!$A366)</f>
        <v>4</v>
      </c>
      <c r="J366" s="8">
        <f>[1]Dataset!$D366-[1]Dataset!$C366</f>
        <v>-5</v>
      </c>
    </row>
    <row r="367" spans="1:10" x14ac:dyDescent="0.25">
      <c r="A367" s="9">
        <v>44426</v>
      </c>
      <c r="B367" s="10" t="s">
        <v>42</v>
      </c>
      <c r="C367" s="10">
        <v>40</v>
      </c>
      <c r="D367" s="10"/>
      <c r="E367" s="10" t="s">
        <v>42</v>
      </c>
      <c r="F367" s="10" t="s">
        <v>20</v>
      </c>
      <c r="G367" s="10" t="s">
        <v>17</v>
      </c>
      <c r="H367" s="10">
        <f>MONTH([1]Dataset!$A367)</f>
        <v>8</v>
      </c>
      <c r="I367" s="11">
        <f>WEEKDAY([1]Dataset!$A367)</f>
        <v>4</v>
      </c>
      <c r="J367" s="12">
        <f>[1]Dataset!$D367-[1]Dataset!$C367</f>
        <v>-40</v>
      </c>
    </row>
    <row r="368" spans="1:10" x14ac:dyDescent="0.25">
      <c r="A368" s="5">
        <v>44427</v>
      </c>
      <c r="B368" s="6" t="s">
        <v>43</v>
      </c>
      <c r="C368" s="6">
        <v>52.1</v>
      </c>
      <c r="D368" s="6"/>
      <c r="E368" s="6" t="s">
        <v>44</v>
      </c>
      <c r="F368" s="6" t="s">
        <v>31</v>
      </c>
      <c r="G368" s="6" t="s">
        <v>17</v>
      </c>
      <c r="H368" s="6">
        <f>MONTH([1]Dataset!$A368)</f>
        <v>8</v>
      </c>
      <c r="I368" s="7">
        <f>WEEKDAY([1]Dataset!$A368)</f>
        <v>5</v>
      </c>
      <c r="J368" s="8">
        <f>[1]Dataset!$D368-[1]Dataset!$C368</f>
        <v>-52.1</v>
      </c>
    </row>
    <row r="369" spans="1:10" x14ac:dyDescent="0.25">
      <c r="A369" s="9">
        <v>44427</v>
      </c>
      <c r="B369" s="10" t="s">
        <v>45</v>
      </c>
      <c r="C369" s="10">
        <v>35</v>
      </c>
      <c r="D369" s="10"/>
      <c r="E369" s="10" t="s">
        <v>30</v>
      </c>
      <c r="F369" s="10" t="s">
        <v>31</v>
      </c>
      <c r="G369" s="10" t="s">
        <v>17</v>
      </c>
      <c r="H369" s="10">
        <f>MONTH([1]Dataset!$A369)</f>
        <v>8</v>
      </c>
      <c r="I369" s="11">
        <f>WEEKDAY([1]Dataset!$A369)</f>
        <v>5</v>
      </c>
      <c r="J369" s="12">
        <f>[1]Dataset!$D369-[1]Dataset!$C369</f>
        <v>-35</v>
      </c>
    </row>
    <row r="370" spans="1:10" x14ac:dyDescent="0.25">
      <c r="A370" s="5">
        <v>44427</v>
      </c>
      <c r="B370" s="6" t="s">
        <v>14</v>
      </c>
      <c r="C370" s="6">
        <v>5</v>
      </c>
      <c r="D370" s="6"/>
      <c r="E370" s="6" t="s">
        <v>15</v>
      </c>
      <c r="F370" s="6" t="s">
        <v>16</v>
      </c>
      <c r="G370" s="6" t="s">
        <v>17</v>
      </c>
      <c r="H370" s="6">
        <f>MONTH([1]Dataset!$A370)</f>
        <v>8</v>
      </c>
      <c r="I370" s="7">
        <f>WEEKDAY([1]Dataset!$A370)</f>
        <v>5</v>
      </c>
      <c r="J370" s="8">
        <f>[1]Dataset!$D370-[1]Dataset!$C370</f>
        <v>-5</v>
      </c>
    </row>
    <row r="371" spans="1:10" x14ac:dyDescent="0.25">
      <c r="A371" s="9">
        <v>44428</v>
      </c>
      <c r="B371" s="10" t="s">
        <v>14</v>
      </c>
      <c r="C371" s="10">
        <v>5</v>
      </c>
      <c r="D371" s="10"/>
      <c r="E371" s="10" t="s">
        <v>15</v>
      </c>
      <c r="F371" s="10" t="s">
        <v>16</v>
      </c>
      <c r="G371" s="10" t="s">
        <v>17</v>
      </c>
      <c r="H371" s="10">
        <f>MONTH([1]Dataset!$A371)</f>
        <v>8</v>
      </c>
      <c r="I371" s="11">
        <f>WEEKDAY([1]Dataset!$A371)</f>
        <v>6</v>
      </c>
      <c r="J371" s="12">
        <f>[1]Dataset!$D371-[1]Dataset!$C371</f>
        <v>-5</v>
      </c>
    </row>
    <row r="372" spans="1:10" x14ac:dyDescent="0.25">
      <c r="A372" s="5">
        <v>44429</v>
      </c>
      <c r="B372" s="6" t="s">
        <v>14</v>
      </c>
      <c r="C372" s="6">
        <v>5</v>
      </c>
      <c r="D372" s="6"/>
      <c r="E372" s="6" t="s">
        <v>15</v>
      </c>
      <c r="F372" s="6" t="s">
        <v>16</v>
      </c>
      <c r="G372" s="6" t="s">
        <v>17</v>
      </c>
      <c r="H372" s="6">
        <f>MONTH([1]Dataset!$A372)</f>
        <v>8</v>
      </c>
      <c r="I372" s="7">
        <f>WEEKDAY([1]Dataset!$A372)</f>
        <v>7</v>
      </c>
      <c r="J372" s="8">
        <f>[1]Dataset!$D372-[1]Dataset!$C372</f>
        <v>-5</v>
      </c>
    </row>
    <row r="373" spans="1:10" x14ac:dyDescent="0.25">
      <c r="A373" s="9">
        <v>44429</v>
      </c>
      <c r="B373" s="10" t="s">
        <v>24</v>
      </c>
      <c r="C373" s="10">
        <v>177</v>
      </c>
      <c r="D373" s="10"/>
      <c r="E373" s="10" t="s">
        <v>25</v>
      </c>
      <c r="F373" s="10" t="s">
        <v>20</v>
      </c>
      <c r="G373" s="10" t="s">
        <v>17</v>
      </c>
      <c r="H373" s="10">
        <f>MONTH([1]Dataset!$A373)</f>
        <v>8</v>
      </c>
      <c r="I373" s="11">
        <f>WEEKDAY([1]Dataset!$A373)</f>
        <v>7</v>
      </c>
      <c r="J373" s="12">
        <f>[1]Dataset!$D373-[1]Dataset!$C373</f>
        <v>-177</v>
      </c>
    </row>
    <row r="374" spans="1:10" x14ac:dyDescent="0.25">
      <c r="A374" s="5">
        <v>44430</v>
      </c>
      <c r="B374" s="6" t="s">
        <v>46</v>
      </c>
      <c r="C374" s="6">
        <v>44.2</v>
      </c>
      <c r="D374" s="6"/>
      <c r="E374" s="6" t="s">
        <v>35</v>
      </c>
      <c r="F374" s="6" t="s">
        <v>16</v>
      </c>
      <c r="G374" s="6" t="s">
        <v>17</v>
      </c>
      <c r="H374" s="6">
        <f>MONTH([1]Dataset!$A374)</f>
        <v>8</v>
      </c>
      <c r="I374" s="7">
        <f>WEEKDAY([1]Dataset!$A374)</f>
        <v>1</v>
      </c>
      <c r="J374" s="8">
        <f>[1]Dataset!$D374-[1]Dataset!$C374</f>
        <v>-44.2</v>
      </c>
    </row>
    <row r="375" spans="1:10" x14ac:dyDescent="0.25">
      <c r="A375" s="9">
        <v>44431</v>
      </c>
      <c r="B375" s="10" t="s">
        <v>47</v>
      </c>
      <c r="C375" s="10">
        <v>19.2</v>
      </c>
      <c r="D375" s="10"/>
      <c r="E375" s="10" t="s">
        <v>35</v>
      </c>
      <c r="F375" s="10" t="s">
        <v>16</v>
      </c>
      <c r="G375" s="10" t="s">
        <v>17</v>
      </c>
      <c r="H375" s="10">
        <f>MONTH([1]Dataset!$A375)</f>
        <v>8</v>
      </c>
      <c r="I375" s="11">
        <f>WEEKDAY([1]Dataset!$A375)</f>
        <v>2</v>
      </c>
      <c r="J375" s="12">
        <f>[1]Dataset!$D375-[1]Dataset!$C375</f>
        <v>-19.2</v>
      </c>
    </row>
    <row r="376" spans="1:10" x14ac:dyDescent="0.25">
      <c r="A376" s="5">
        <v>44432</v>
      </c>
      <c r="B376" s="6" t="s">
        <v>48</v>
      </c>
      <c r="C376" s="6">
        <v>55</v>
      </c>
      <c r="D376" s="6"/>
      <c r="E376" s="6" t="s">
        <v>49</v>
      </c>
      <c r="F376" s="6" t="s">
        <v>50</v>
      </c>
      <c r="G376" s="6" t="s">
        <v>17</v>
      </c>
      <c r="H376" s="6">
        <f>MONTH([1]Dataset!$A376)</f>
        <v>8</v>
      </c>
      <c r="I376" s="7">
        <f>WEEKDAY([1]Dataset!$A376)</f>
        <v>3</v>
      </c>
      <c r="J376" s="8">
        <f>[1]Dataset!$D376-[1]Dataset!$C376</f>
        <v>-55</v>
      </c>
    </row>
    <row r="377" spans="1:10" x14ac:dyDescent="0.25">
      <c r="A377" s="9">
        <v>44432</v>
      </c>
      <c r="B377" s="10" t="s">
        <v>28</v>
      </c>
      <c r="C377" s="10">
        <v>69.700000000000017</v>
      </c>
      <c r="D377" s="10"/>
      <c r="E377" s="10" t="s">
        <v>51</v>
      </c>
      <c r="F377" s="10" t="s">
        <v>23</v>
      </c>
      <c r="G377" s="10" t="s">
        <v>17</v>
      </c>
      <c r="H377" s="10">
        <f>MONTH([1]Dataset!$A377)</f>
        <v>8</v>
      </c>
      <c r="I377" s="11">
        <f>WEEKDAY([1]Dataset!$A377)</f>
        <v>3</v>
      </c>
      <c r="J377" s="12">
        <f>[1]Dataset!$D377-[1]Dataset!$C377</f>
        <v>-69.700000000000017</v>
      </c>
    </row>
    <row r="378" spans="1:10" x14ac:dyDescent="0.25">
      <c r="A378" s="5">
        <v>44432</v>
      </c>
      <c r="B378" s="6" t="s">
        <v>14</v>
      </c>
      <c r="C378" s="6">
        <v>5</v>
      </c>
      <c r="D378" s="6"/>
      <c r="E378" s="6" t="s">
        <v>15</v>
      </c>
      <c r="F378" s="6" t="s">
        <v>16</v>
      </c>
      <c r="G378" s="6" t="s">
        <v>17</v>
      </c>
      <c r="H378" s="6">
        <f>MONTH([1]Dataset!$A378)</f>
        <v>8</v>
      </c>
      <c r="I378" s="7">
        <f>WEEKDAY([1]Dataset!$A378)</f>
        <v>3</v>
      </c>
      <c r="J378" s="8">
        <f>[1]Dataset!$D378-[1]Dataset!$C378</f>
        <v>-5</v>
      </c>
    </row>
    <row r="379" spans="1:10" x14ac:dyDescent="0.25">
      <c r="A379" s="9">
        <v>44433</v>
      </c>
      <c r="B379" s="10" t="s">
        <v>14</v>
      </c>
      <c r="C379" s="10">
        <v>5</v>
      </c>
      <c r="D379" s="10"/>
      <c r="E379" s="10" t="s">
        <v>15</v>
      </c>
      <c r="F379" s="10" t="s">
        <v>16</v>
      </c>
      <c r="G379" s="10" t="s">
        <v>17</v>
      </c>
      <c r="H379" s="10">
        <f>MONTH([1]Dataset!$A379)</f>
        <v>8</v>
      </c>
      <c r="I379" s="11">
        <f>WEEKDAY([1]Dataset!$A379)</f>
        <v>4</v>
      </c>
      <c r="J379" s="12">
        <f>[1]Dataset!$D379-[1]Dataset!$C379</f>
        <v>-5</v>
      </c>
    </row>
    <row r="380" spans="1:10" x14ac:dyDescent="0.25">
      <c r="A380" s="5">
        <v>44434</v>
      </c>
      <c r="B380" s="6" t="s">
        <v>14</v>
      </c>
      <c r="C380" s="6">
        <v>5</v>
      </c>
      <c r="D380" s="6"/>
      <c r="E380" s="6" t="s">
        <v>15</v>
      </c>
      <c r="F380" s="6" t="s">
        <v>16</v>
      </c>
      <c r="G380" s="6" t="s">
        <v>17</v>
      </c>
      <c r="H380" s="6">
        <f>MONTH([1]Dataset!$A380)</f>
        <v>8</v>
      </c>
      <c r="I380" s="7">
        <f>WEEKDAY([1]Dataset!$A380)</f>
        <v>5</v>
      </c>
      <c r="J380" s="8">
        <f>[1]Dataset!$D380-[1]Dataset!$C380</f>
        <v>-5</v>
      </c>
    </row>
    <row r="381" spans="1:10" x14ac:dyDescent="0.25">
      <c r="A381" s="9">
        <v>44435</v>
      </c>
      <c r="B381" s="10" t="s">
        <v>14</v>
      </c>
      <c r="C381" s="10">
        <v>5</v>
      </c>
      <c r="D381" s="10"/>
      <c r="E381" s="10" t="s">
        <v>15</v>
      </c>
      <c r="F381" s="10" t="s">
        <v>16</v>
      </c>
      <c r="G381" s="10" t="s">
        <v>17</v>
      </c>
      <c r="H381" s="10">
        <f>MONTH([1]Dataset!$A381)</f>
        <v>8</v>
      </c>
      <c r="I381" s="11">
        <f>WEEKDAY([1]Dataset!$A381)</f>
        <v>6</v>
      </c>
      <c r="J381" s="12">
        <f>[1]Dataset!$D381-[1]Dataset!$C381</f>
        <v>-5</v>
      </c>
    </row>
    <row r="382" spans="1:10" x14ac:dyDescent="0.25">
      <c r="A382" s="5">
        <v>44436</v>
      </c>
      <c r="B382" s="6" t="s">
        <v>14</v>
      </c>
      <c r="C382" s="6">
        <v>5</v>
      </c>
      <c r="D382" s="6"/>
      <c r="E382" s="6" t="s">
        <v>15</v>
      </c>
      <c r="F382" s="6" t="s">
        <v>16</v>
      </c>
      <c r="G382" s="6" t="s">
        <v>17</v>
      </c>
      <c r="H382" s="6">
        <f>MONTH([1]Dataset!$A382)</f>
        <v>8</v>
      </c>
      <c r="I382" s="7">
        <f>WEEKDAY([1]Dataset!$A382)</f>
        <v>7</v>
      </c>
      <c r="J382" s="8">
        <f>[1]Dataset!$D382-[1]Dataset!$C382</f>
        <v>-5</v>
      </c>
    </row>
    <row r="383" spans="1:10" x14ac:dyDescent="0.25">
      <c r="A383" s="9">
        <v>44436</v>
      </c>
      <c r="B383" s="10" t="s">
        <v>24</v>
      </c>
      <c r="C383" s="10">
        <v>117</v>
      </c>
      <c r="D383" s="10"/>
      <c r="E383" s="10" t="s">
        <v>25</v>
      </c>
      <c r="F383" s="10" t="s">
        <v>20</v>
      </c>
      <c r="G383" s="10" t="s">
        <v>17</v>
      </c>
      <c r="H383" s="10">
        <f>MONTH([1]Dataset!$A383)</f>
        <v>8</v>
      </c>
      <c r="I383" s="11">
        <f>WEEKDAY([1]Dataset!$A383)</f>
        <v>7</v>
      </c>
      <c r="J383" s="12">
        <f>[1]Dataset!$D383-[1]Dataset!$C383</f>
        <v>-117</v>
      </c>
    </row>
    <row r="384" spans="1:10" x14ac:dyDescent="0.25">
      <c r="A384" s="5">
        <v>44437</v>
      </c>
      <c r="B384" s="6" t="s">
        <v>52</v>
      </c>
      <c r="C384" s="6">
        <v>131.9</v>
      </c>
      <c r="D384" s="6"/>
      <c r="E384" s="6" t="s">
        <v>33</v>
      </c>
      <c r="F384" s="6" t="s">
        <v>31</v>
      </c>
      <c r="G384" s="6" t="s">
        <v>17</v>
      </c>
      <c r="H384" s="6">
        <f>MONTH([1]Dataset!$A384)</f>
        <v>8</v>
      </c>
      <c r="I384" s="7">
        <f>WEEKDAY([1]Dataset!$A384)</f>
        <v>1</v>
      </c>
      <c r="J384" s="8">
        <f>[1]Dataset!$D384-[1]Dataset!$C384</f>
        <v>-131.9</v>
      </c>
    </row>
    <row r="385" spans="1:10" x14ac:dyDescent="0.25">
      <c r="A385" s="9">
        <v>44437</v>
      </c>
      <c r="B385" s="10" t="s">
        <v>53</v>
      </c>
      <c r="C385" s="10">
        <v>182.39999999999998</v>
      </c>
      <c r="D385" s="10"/>
      <c r="E385" s="10" t="s">
        <v>30</v>
      </c>
      <c r="F385" s="10" t="s">
        <v>31</v>
      </c>
      <c r="G385" s="10" t="s">
        <v>17</v>
      </c>
      <c r="H385" s="10">
        <f>MONTH([1]Dataset!$A385)</f>
        <v>8</v>
      </c>
      <c r="I385" s="11">
        <f>WEEKDAY([1]Dataset!$A385)</f>
        <v>1</v>
      </c>
      <c r="J385" s="12">
        <f>[1]Dataset!$D385-[1]Dataset!$C385</f>
        <v>-182.39999999999998</v>
      </c>
    </row>
    <row r="386" spans="1:10" x14ac:dyDescent="0.25">
      <c r="A386" s="5">
        <v>44438</v>
      </c>
      <c r="B386" s="6" t="s">
        <v>32</v>
      </c>
      <c r="C386" s="6">
        <v>152.29999999999998</v>
      </c>
      <c r="D386" s="6"/>
      <c r="E386" s="6" t="s">
        <v>33</v>
      </c>
      <c r="F386" s="6" t="s">
        <v>31</v>
      </c>
      <c r="G386" s="6" t="s">
        <v>17</v>
      </c>
      <c r="H386" s="6">
        <f>MONTH([1]Dataset!$A386)</f>
        <v>8</v>
      </c>
      <c r="I386" s="7">
        <f>WEEKDAY([1]Dataset!$A386)</f>
        <v>2</v>
      </c>
      <c r="J386" s="8">
        <f>[1]Dataset!$D386-[1]Dataset!$C386</f>
        <v>-152.29999999999998</v>
      </c>
    </row>
    <row r="387" spans="1:10" x14ac:dyDescent="0.25">
      <c r="A387" s="9">
        <v>44438</v>
      </c>
      <c r="B387" s="10" t="s">
        <v>36</v>
      </c>
      <c r="C387" s="10">
        <v>30.300000000000004</v>
      </c>
      <c r="D387" s="10"/>
      <c r="E387" s="10" t="s">
        <v>37</v>
      </c>
      <c r="F387" s="10" t="s">
        <v>23</v>
      </c>
      <c r="G387" s="10" t="s">
        <v>17</v>
      </c>
      <c r="H387" s="10">
        <f>MONTH([1]Dataset!$A387)</f>
        <v>8</v>
      </c>
      <c r="I387" s="11">
        <f>WEEKDAY([1]Dataset!$A387)</f>
        <v>2</v>
      </c>
      <c r="J387" s="12">
        <f>[1]Dataset!$D387-[1]Dataset!$C387</f>
        <v>-30.300000000000004</v>
      </c>
    </row>
    <row r="388" spans="1:10" x14ac:dyDescent="0.25">
      <c r="A388" s="5">
        <v>44438</v>
      </c>
      <c r="B388" s="6" t="s">
        <v>59</v>
      </c>
      <c r="C388" s="6">
        <v>15</v>
      </c>
      <c r="D388" s="6"/>
      <c r="E388" s="6" t="s">
        <v>35</v>
      </c>
      <c r="F388" s="6" t="s">
        <v>16</v>
      </c>
      <c r="G388" s="6" t="s">
        <v>17</v>
      </c>
      <c r="H388" s="6">
        <f>MONTH([1]Dataset!$A388)</f>
        <v>8</v>
      </c>
      <c r="I388" s="7">
        <f>WEEKDAY([1]Dataset!$A388)</f>
        <v>2</v>
      </c>
      <c r="J388" s="8">
        <f>[1]Dataset!$D388-[1]Dataset!$C388</f>
        <v>-15</v>
      </c>
    </row>
    <row r="389" spans="1:10" x14ac:dyDescent="0.25">
      <c r="A389" s="9">
        <v>44439</v>
      </c>
      <c r="B389" s="10" t="s">
        <v>14</v>
      </c>
      <c r="C389" s="10">
        <v>5</v>
      </c>
      <c r="D389" s="10"/>
      <c r="E389" s="10" t="s">
        <v>15</v>
      </c>
      <c r="F389" s="10" t="s">
        <v>16</v>
      </c>
      <c r="G389" s="10" t="s">
        <v>17</v>
      </c>
      <c r="H389" s="10">
        <f>MONTH([1]Dataset!$A389)</f>
        <v>8</v>
      </c>
      <c r="I389" s="11">
        <f>WEEKDAY([1]Dataset!$A389)</f>
        <v>3</v>
      </c>
      <c r="J389" s="12">
        <f>[1]Dataset!$D389-[1]Dataset!$C389</f>
        <v>-5</v>
      </c>
    </row>
    <row r="390" spans="1:10" x14ac:dyDescent="0.25">
      <c r="A390" s="5">
        <v>44441</v>
      </c>
      <c r="B390" s="6" t="s">
        <v>14</v>
      </c>
      <c r="C390" s="6">
        <v>5</v>
      </c>
      <c r="D390" s="6"/>
      <c r="E390" s="6" t="s">
        <v>15</v>
      </c>
      <c r="F390" s="6" t="s">
        <v>16</v>
      </c>
      <c r="G390" s="6" t="s">
        <v>17</v>
      </c>
      <c r="H390" s="6">
        <f>MONTH([1]Dataset!$A390)</f>
        <v>9</v>
      </c>
      <c r="I390" s="7">
        <f>WEEKDAY([1]Dataset!$A390)</f>
        <v>5</v>
      </c>
      <c r="J390" s="8">
        <f>[1]Dataset!$D390-[1]Dataset!$C390</f>
        <v>-5</v>
      </c>
    </row>
    <row r="391" spans="1:10" x14ac:dyDescent="0.25">
      <c r="A391" s="9">
        <v>44441</v>
      </c>
      <c r="B391" s="10" t="s">
        <v>10</v>
      </c>
      <c r="C391" s="10"/>
      <c r="D391" s="10">
        <v>5000</v>
      </c>
      <c r="E391" s="10" t="s">
        <v>11</v>
      </c>
      <c r="F391" s="10" t="s">
        <v>12</v>
      </c>
      <c r="G391" s="10" t="s">
        <v>13</v>
      </c>
      <c r="H391" s="10">
        <f>MONTH([1]Dataset!$A391)</f>
        <v>9</v>
      </c>
      <c r="I391" s="11">
        <f>WEEKDAY([1]Dataset!$A391)</f>
        <v>5</v>
      </c>
      <c r="J391" s="12">
        <f>[1]Dataset!$D391-[1]Dataset!$C391</f>
        <v>5000</v>
      </c>
    </row>
    <row r="392" spans="1:10" x14ac:dyDescent="0.25">
      <c r="A392" s="5">
        <v>44442</v>
      </c>
      <c r="B392" s="6" t="s">
        <v>14</v>
      </c>
      <c r="C392" s="6">
        <v>5</v>
      </c>
      <c r="D392" s="6"/>
      <c r="E392" s="6" t="s">
        <v>15</v>
      </c>
      <c r="F392" s="6" t="s">
        <v>16</v>
      </c>
      <c r="G392" s="6" t="s">
        <v>17</v>
      </c>
      <c r="H392" s="6">
        <f>MONTH([1]Dataset!$A392)</f>
        <v>9</v>
      </c>
      <c r="I392" s="7">
        <f>WEEKDAY([1]Dataset!$A392)</f>
        <v>6</v>
      </c>
      <c r="J392" s="8">
        <f>[1]Dataset!$D392-[1]Dataset!$C392</f>
        <v>-5</v>
      </c>
    </row>
    <row r="393" spans="1:10" x14ac:dyDescent="0.25">
      <c r="A393" s="9">
        <v>44444</v>
      </c>
      <c r="B393" s="10" t="s">
        <v>18</v>
      </c>
      <c r="C393" s="10">
        <v>900</v>
      </c>
      <c r="D393" s="10"/>
      <c r="E393" s="10" t="s">
        <v>19</v>
      </c>
      <c r="F393" s="10" t="s">
        <v>20</v>
      </c>
      <c r="G393" s="10" t="s">
        <v>17</v>
      </c>
      <c r="H393" s="10">
        <f>MONTH([1]Dataset!$A393)</f>
        <v>9</v>
      </c>
      <c r="I393" s="11">
        <f>WEEKDAY([1]Dataset!$A393)</f>
        <v>1</v>
      </c>
      <c r="J393" s="12">
        <f>[1]Dataset!$D393-[1]Dataset!$C393</f>
        <v>-900</v>
      </c>
    </row>
    <row r="394" spans="1:10" x14ac:dyDescent="0.25">
      <c r="A394" s="5">
        <v>44444</v>
      </c>
      <c r="B394" s="6" t="s">
        <v>21</v>
      </c>
      <c r="C394" s="6">
        <v>150</v>
      </c>
      <c r="D394" s="6"/>
      <c r="E394" s="6" t="s">
        <v>22</v>
      </c>
      <c r="F394" s="6" t="s">
        <v>23</v>
      </c>
      <c r="G394" s="6" t="s">
        <v>17</v>
      </c>
      <c r="H394" s="6">
        <f>MONTH([1]Dataset!$A394)</f>
        <v>9</v>
      </c>
      <c r="I394" s="7">
        <f>WEEKDAY([1]Dataset!$A394)</f>
        <v>1</v>
      </c>
      <c r="J394" s="8">
        <f>[1]Dataset!$D394-[1]Dataset!$C394</f>
        <v>-150</v>
      </c>
    </row>
    <row r="395" spans="1:10" x14ac:dyDescent="0.25">
      <c r="A395" s="9">
        <v>44444</v>
      </c>
      <c r="B395" s="10" t="s">
        <v>14</v>
      </c>
      <c r="C395" s="10">
        <v>5</v>
      </c>
      <c r="D395" s="10"/>
      <c r="E395" s="10" t="s">
        <v>15</v>
      </c>
      <c r="F395" s="10" t="s">
        <v>16</v>
      </c>
      <c r="G395" s="10" t="s">
        <v>17</v>
      </c>
      <c r="H395" s="10">
        <f>MONTH([1]Dataset!$A395)</f>
        <v>9</v>
      </c>
      <c r="I395" s="11">
        <f>WEEKDAY([1]Dataset!$A395)</f>
        <v>1</v>
      </c>
      <c r="J395" s="12">
        <f>[1]Dataset!$D395-[1]Dataset!$C395</f>
        <v>-5</v>
      </c>
    </row>
    <row r="396" spans="1:10" x14ac:dyDescent="0.25">
      <c r="A396" s="5">
        <v>44444</v>
      </c>
      <c r="B396" s="6" t="s">
        <v>14</v>
      </c>
      <c r="C396" s="6">
        <v>5</v>
      </c>
      <c r="D396" s="6"/>
      <c r="E396" s="6" t="s">
        <v>15</v>
      </c>
      <c r="F396" s="6" t="s">
        <v>16</v>
      </c>
      <c r="G396" s="6" t="s">
        <v>17</v>
      </c>
      <c r="H396" s="6">
        <f>MONTH([1]Dataset!$A396)</f>
        <v>9</v>
      </c>
      <c r="I396" s="7">
        <f>WEEKDAY([1]Dataset!$A396)</f>
        <v>1</v>
      </c>
      <c r="J396" s="8">
        <f>[1]Dataset!$D396-[1]Dataset!$C396</f>
        <v>-5</v>
      </c>
    </row>
    <row r="397" spans="1:10" x14ac:dyDescent="0.25">
      <c r="A397" s="9">
        <v>44445</v>
      </c>
      <c r="B397" s="10" t="s">
        <v>14</v>
      </c>
      <c r="C397" s="10">
        <v>5</v>
      </c>
      <c r="D397" s="10"/>
      <c r="E397" s="10" t="s">
        <v>15</v>
      </c>
      <c r="F397" s="10" t="s">
        <v>16</v>
      </c>
      <c r="G397" s="10" t="s">
        <v>17</v>
      </c>
      <c r="H397" s="10">
        <f>MONTH([1]Dataset!$A397)</f>
        <v>9</v>
      </c>
      <c r="I397" s="11">
        <f>WEEKDAY([1]Dataset!$A397)</f>
        <v>2</v>
      </c>
      <c r="J397" s="12">
        <f>[1]Dataset!$D397-[1]Dataset!$C397</f>
        <v>-5</v>
      </c>
    </row>
    <row r="398" spans="1:10" x14ac:dyDescent="0.25">
      <c r="A398" s="5">
        <v>44446</v>
      </c>
      <c r="B398" s="6" t="s">
        <v>14</v>
      </c>
      <c r="C398" s="6">
        <v>5</v>
      </c>
      <c r="D398" s="6"/>
      <c r="E398" s="6" t="s">
        <v>15</v>
      </c>
      <c r="F398" s="6" t="s">
        <v>16</v>
      </c>
      <c r="G398" s="6" t="s">
        <v>17</v>
      </c>
      <c r="H398" s="6">
        <f>MONTH([1]Dataset!$A398)</f>
        <v>9</v>
      </c>
      <c r="I398" s="7">
        <f>WEEKDAY([1]Dataset!$A398)</f>
        <v>3</v>
      </c>
      <c r="J398" s="8">
        <f>[1]Dataset!$D398-[1]Dataset!$C398</f>
        <v>-5</v>
      </c>
    </row>
    <row r="399" spans="1:10" x14ac:dyDescent="0.25">
      <c r="A399" s="9">
        <v>44446</v>
      </c>
      <c r="B399" s="10" t="s">
        <v>24</v>
      </c>
      <c r="C399" s="10">
        <v>163.39999999999998</v>
      </c>
      <c r="D399" s="10"/>
      <c r="E399" s="10" t="s">
        <v>25</v>
      </c>
      <c r="F399" s="10" t="s">
        <v>20</v>
      </c>
      <c r="G399" s="10" t="s">
        <v>17</v>
      </c>
      <c r="H399" s="10">
        <f>MONTH([1]Dataset!$A399)</f>
        <v>9</v>
      </c>
      <c r="I399" s="11">
        <f>WEEKDAY([1]Dataset!$A399)</f>
        <v>3</v>
      </c>
      <c r="J399" s="12">
        <f>[1]Dataset!$D399-[1]Dataset!$C399</f>
        <v>-163.39999999999998</v>
      </c>
    </row>
    <row r="400" spans="1:10" x14ac:dyDescent="0.25">
      <c r="A400" s="5">
        <v>44449</v>
      </c>
      <c r="B400" s="6" t="s">
        <v>26</v>
      </c>
      <c r="C400" s="6">
        <v>58.1</v>
      </c>
      <c r="D400" s="6"/>
      <c r="E400" s="6" t="s">
        <v>27</v>
      </c>
      <c r="F400" s="6" t="s">
        <v>20</v>
      </c>
      <c r="G400" s="6" t="s">
        <v>17</v>
      </c>
      <c r="H400" s="6">
        <f>MONTH([1]Dataset!$A400)</f>
        <v>9</v>
      </c>
      <c r="I400" s="7">
        <f>WEEKDAY([1]Dataset!$A400)</f>
        <v>6</v>
      </c>
      <c r="J400" s="8">
        <f>[1]Dataset!$D400-[1]Dataset!$C400</f>
        <v>-58.1</v>
      </c>
    </row>
    <row r="401" spans="1:10" x14ac:dyDescent="0.25">
      <c r="A401" s="9">
        <v>44449</v>
      </c>
      <c r="B401" s="10" t="s">
        <v>14</v>
      </c>
      <c r="C401" s="10">
        <v>5</v>
      </c>
      <c r="D401" s="10"/>
      <c r="E401" s="10" t="s">
        <v>15</v>
      </c>
      <c r="F401" s="10" t="s">
        <v>16</v>
      </c>
      <c r="G401" s="10" t="s">
        <v>17</v>
      </c>
      <c r="H401" s="10">
        <f>MONTH([1]Dataset!$A401)</f>
        <v>9</v>
      </c>
      <c r="I401" s="11">
        <f>WEEKDAY([1]Dataset!$A401)</f>
        <v>6</v>
      </c>
      <c r="J401" s="12">
        <f>[1]Dataset!$D401-[1]Dataset!$C401</f>
        <v>-5</v>
      </c>
    </row>
    <row r="402" spans="1:10" x14ac:dyDescent="0.25">
      <c r="A402" s="5">
        <v>44450</v>
      </c>
      <c r="B402" s="6" t="s">
        <v>14</v>
      </c>
      <c r="C402" s="6">
        <v>5</v>
      </c>
      <c r="D402" s="6"/>
      <c r="E402" s="6" t="s">
        <v>15</v>
      </c>
      <c r="F402" s="6" t="s">
        <v>16</v>
      </c>
      <c r="G402" s="6" t="s">
        <v>17</v>
      </c>
      <c r="H402" s="6">
        <f>MONTH([1]Dataset!$A402)</f>
        <v>9</v>
      </c>
      <c r="I402" s="7">
        <f>WEEKDAY([1]Dataset!$A402)</f>
        <v>7</v>
      </c>
      <c r="J402" s="8">
        <f>[1]Dataset!$D402-[1]Dataset!$C402</f>
        <v>-5</v>
      </c>
    </row>
    <row r="403" spans="1:10" x14ac:dyDescent="0.25">
      <c r="A403" s="9">
        <v>44451</v>
      </c>
      <c r="B403" s="10" t="s">
        <v>28</v>
      </c>
      <c r="C403" s="10">
        <v>85.299999999999983</v>
      </c>
      <c r="D403" s="10"/>
      <c r="E403" s="10" t="s">
        <v>51</v>
      </c>
      <c r="F403" s="10" t="s">
        <v>23</v>
      </c>
      <c r="G403" s="10" t="s">
        <v>17</v>
      </c>
      <c r="H403" s="10">
        <f>MONTH([1]Dataset!$A403)</f>
        <v>9</v>
      </c>
      <c r="I403" s="11">
        <f>WEEKDAY([1]Dataset!$A403)</f>
        <v>1</v>
      </c>
      <c r="J403" s="12">
        <f>[1]Dataset!$D403-[1]Dataset!$C403</f>
        <v>-85.299999999999983</v>
      </c>
    </row>
    <row r="404" spans="1:10" x14ac:dyDescent="0.25">
      <c r="A404" s="5">
        <v>44451</v>
      </c>
      <c r="B404" s="6" t="s">
        <v>14</v>
      </c>
      <c r="C404" s="6">
        <v>5</v>
      </c>
      <c r="D404" s="6"/>
      <c r="E404" s="6" t="s">
        <v>15</v>
      </c>
      <c r="F404" s="6" t="s">
        <v>16</v>
      </c>
      <c r="G404" s="6" t="s">
        <v>17</v>
      </c>
      <c r="H404" s="6">
        <f>MONTH([1]Dataset!$A404)</f>
        <v>9</v>
      </c>
      <c r="I404" s="7">
        <f>WEEKDAY([1]Dataset!$A404)</f>
        <v>1</v>
      </c>
      <c r="J404" s="8">
        <f>[1]Dataset!$D404-[1]Dataset!$C404</f>
        <v>-5</v>
      </c>
    </row>
    <row r="405" spans="1:10" x14ac:dyDescent="0.25">
      <c r="A405" s="9">
        <v>44452</v>
      </c>
      <c r="B405" s="10" t="s">
        <v>14</v>
      </c>
      <c r="C405" s="10">
        <v>5</v>
      </c>
      <c r="D405" s="10"/>
      <c r="E405" s="10" t="s">
        <v>15</v>
      </c>
      <c r="F405" s="10" t="s">
        <v>16</v>
      </c>
      <c r="G405" s="10" t="s">
        <v>17</v>
      </c>
      <c r="H405" s="10">
        <f>MONTH([1]Dataset!$A405)</f>
        <v>9</v>
      </c>
      <c r="I405" s="11">
        <f>WEEKDAY([1]Dataset!$A405)</f>
        <v>2</v>
      </c>
      <c r="J405" s="12">
        <f>[1]Dataset!$D405-[1]Dataset!$C405</f>
        <v>-5</v>
      </c>
    </row>
    <row r="406" spans="1:10" x14ac:dyDescent="0.25">
      <c r="A406" s="5">
        <v>44453</v>
      </c>
      <c r="B406" s="6" t="s">
        <v>24</v>
      </c>
      <c r="C406" s="6">
        <v>143</v>
      </c>
      <c r="D406" s="6"/>
      <c r="E406" s="6" t="s">
        <v>25</v>
      </c>
      <c r="F406" s="6" t="s">
        <v>20</v>
      </c>
      <c r="G406" s="6" t="s">
        <v>17</v>
      </c>
      <c r="H406" s="6">
        <f>MONTH([1]Dataset!$A406)</f>
        <v>9</v>
      </c>
      <c r="I406" s="7">
        <f>WEEKDAY([1]Dataset!$A406)</f>
        <v>3</v>
      </c>
      <c r="J406" s="8">
        <f>[1]Dataset!$D406-[1]Dataset!$C406</f>
        <v>-143</v>
      </c>
    </row>
    <row r="407" spans="1:10" x14ac:dyDescent="0.25">
      <c r="A407" s="9">
        <v>44453</v>
      </c>
      <c r="B407" s="10" t="s">
        <v>14</v>
      </c>
      <c r="C407" s="10">
        <v>5</v>
      </c>
      <c r="D407" s="10"/>
      <c r="E407" s="10" t="s">
        <v>15</v>
      </c>
      <c r="F407" s="10" t="s">
        <v>16</v>
      </c>
      <c r="G407" s="10" t="s">
        <v>17</v>
      </c>
      <c r="H407" s="10">
        <f>MONTH([1]Dataset!$A407)</f>
        <v>9</v>
      </c>
      <c r="I407" s="11">
        <f>WEEKDAY([1]Dataset!$A407)</f>
        <v>3</v>
      </c>
      <c r="J407" s="12">
        <f>[1]Dataset!$D407-[1]Dataset!$C407</f>
        <v>-5</v>
      </c>
    </row>
    <row r="408" spans="1:10" x14ac:dyDescent="0.25">
      <c r="A408" s="5">
        <v>44454</v>
      </c>
      <c r="B408" s="6" t="s">
        <v>14</v>
      </c>
      <c r="C408" s="6">
        <v>5</v>
      </c>
      <c r="D408" s="6"/>
      <c r="E408" s="6" t="s">
        <v>15</v>
      </c>
      <c r="F408" s="6" t="s">
        <v>16</v>
      </c>
      <c r="G408" s="6" t="s">
        <v>17</v>
      </c>
      <c r="H408" s="6">
        <f>MONTH([1]Dataset!$A408)</f>
        <v>9</v>
      </c>
      <c r="I408" s="7">
        <f>WEEKDAY([1]Dataset!$A408)</f>
        <v>4</v>
      </c>
      <c r="J408" s="8">
        <f>[1]Dataset!$D408-[1]Dataset!$C408</f>
        <v>-5</v>
      </c>
    </row>
    <row r="409" spans="1:10" x14ac:dyDescent="0.25">
      <c r="A409" s="9">
        <v>44454</v>
      </c>
      <c r="B409" s="10" t="s">
        <v>29</v>
      </c>
      <c r="C409" s="10">
        <v>47.8</v>
      </c>
      <c r="D409" s="10"/>
      <c r="E409" s="10" t="s">
        <v>30</v>
      </c>
      <c r="F409" s="10" t="s">
        <v>31</v>
      </c>
      <c r="G409" s="10" t="s">
        <v>17</v>
      </c>
      <c r="H409" s="10">
        <f>MONTH([1]Dataset!$A409)</f>
        <v>9</v>
      </c>
      <c r="I409" s="11">
        <f>WEEKDAY([1]Dataset!$A409)</f>
        <v>4</v>
      </c>
      <c r="J409" s="12">
        <f>[1]Dataset!$D409-[1]Dataset!$C409</f>
        <v>-47.8</v>
      </c>
    </row>
    <row r="410" spans="1:10" x14ac:dyDescent="0.25">
      <c r="A410" s="5">
        <v>44454</v>
      </c>
      <c r="B410" s="6" t="s">
        <v>32</v>
      </c>
      <c r="C410" s="6">
        <v>105.80000000000001</v>
      </c>
      <c r="D410" s="6"/>
      <c r="E410" s="6" t="s">
        <v>33</v>
      </c>
      <c r="F410" s="6" t="s">
        <v>31</v>
      </c>
      <c r="G410" s="6" t="s">
        <v>17</v>
      </c>
      <c r="H410" s="6">
        <f>MONTH([1]Dataset!$A410)</f>
        <v>9</v>
      </c>
      <c r="I410" s="7">
        <f>WEEKDAY([1]Dataset!$A410)</f>
        <v>4</v>
      </c>
      <c r="J410" s="8">
        <f>[1]Dataset!$D410-[1]Dataset!$C410</f>
        <v>-105.80000000000001</v>
      </c>
    </row>
    <row r="411" spans="1:10" x14ac:dyDescent="0.25">
      <c r="A411" s="9">
        <v>44454</v>
      </c>
      <c r="B411" s="10" t="s">
        <v>34</v>
      </c>
      <c r="C411" s="10">
        <v>60.1</v>
      </c>
      <c r="D411" s="10"/>
      <c r="E411" s="10" t="s">
        <v>35</v>
      </c>
      <c r="F411" s="10" t="s">
        <v>16</v>
      </c>
      <c r="G411" s="10" t="s">
        <v>17</v>
      </c>
      <c r="H411" s="10">
        <f>MONTH([1]Dataset!$A411)</f>
        <v>9</v>
      </c>
      <c r="I411" s="11">
        <f>WEEKDAY([1]Dataset!$A411)</f>
        <v>4</v>
      </c>
      <c r="J411" s="12">
        <f>[1]Dataset!$D411-[1]Dataset!$C411</f>
        <v>-60.1</v>
      </c>
    </row>
    <row r="412" spans="1:10" x14ac:dyDescent="0.25">
      <c r="A412" s="5">
        <v>44455</v>
      </c>
      <c r="B412" s="6" t="s">
        <v>36</v>
      </c>
      <c r="C412" s="6">
        <v>36.200000000000003</v>
      </c>
      <c r="D412" s="6"/>
      <c r="E412" s="6" t="s">
        <v>37</v>
      </c>
      <c r="F412" s="6" t="s">
        <v>23</v>
      </c>
      <c r="G412" s="6" t="s">
        <v>17</v>
      </c>
      <c r="H412" s="6">
        <f>MONTH([1]Dataset!$A412)</f>
        <v>9</v>
      </c>
      <c r="I412" s="7">
        <f>WEEKDAY([1]Dataset!$A412)</f>
        <v>5</v>
      </c>
      <c r="J412" s="8">
        <f>[1]Dataset!$D412-[1]Dataset!$C412</f>
        <v>-36.200000000000003</v>
      </c>
    </row>
    <row r="413" spans="1:10" x14ac:dyDescent="0.25">
      <c r="A413" s="9">
        <v>44456</v>
      </c>
      <c r="B413" s="10" t="s">
        <v>38</v>
      </c>
      <c r="C413" s="10"/>
      <c r="D413" s="10">
        <v>100</v>
      </c>
      <c r="E413" s="10" t="s">
        <v>39</v>
      </c>
      <c r="F413" s="10" t="s">
        <v>40</v>
      </c>
      <c r="G413" s="10" t="s">
        <v>13</v>
      </c>
      <c r="H413" s="10">
        <f>MONTH([1]Dataset!$A413)</f>
        <v>9</v>
      </c>
      <c r="I413" s="11">
        <f>WEEKDAY([1]Dataset!$A413)</f>
        <v>6</v>
      </c>
      <c r="J413" s="12">
        <f>[1]Dataset!$D413-[1]Dataset!$C413</f>
        <v>100</v>
      </c>
    </row>
    <row r="414" spans="1:10" x14ac:dyDescent="0.25">
      <c r="A414" s="5">
        <v>44456</v>
      </c>
      <c r="B414" s="6" t="s">
        <v>14</v>
      </c>
      <c r="C414" s="6">
        <v>5</v>
      </c>
      <c r="D414" s="6"/>
      <c r="E414" s="6" t="s">
        <v>15</v>
      </c>
      <c r="F414" s="6" t="s">
        <v>16</v>
      </c>
      <c r="G414" s="6" t="s">
        <v>17</v>
      </c>
      <c r="H414" s="6">
        <f>MONTH([1]Dataset!$A414)</f>
        <v>9</v>
      </c>
      <c r="I414" s="7">
        <f>WEEKDAY([1]Dataset!$A414)</f>
        <v>6</v>
      </c>
      <c r="J414" s="8">
        <f>[1]Dataset!$D414-[1]Dataset!$C414</f>
        <v>-5</v>
      </c>
    </row>
    <row r="415" spans="1:10" x14ac:dyDescent="0.25">
      <c r="A415" s="9">
        <v>44457</v>
      </c>
      <c r="B415" s="10" t="s">
        <v>14</v>
      </c>
      <c r="C415" s="10">
        <v>5</v>
      </c>
      <c r="D415" s="10"/>
      <c r="E415" s="10" t="s">
        <v>15</v>
      </c>
      <c r="F415" s="10" t="s">
        <v>16</v>
      </c>
      <c r="G415" s="10" t="s">
        <v>17</v>
      </c>
      <c r="H415" s="10">
        <f>MONTH([1]Dataset!$A415)</f>
        <v>9</v>
      </c>
      <c r="I415" s="11">
        <f>WEEKDAY([1]Dataset!$A415)</f>
        <v>7</v>
      </c>
      <c r="J415" s="12">
        <f>[1]Dataset!$D415-[1]Dataset!$C415</f>
        <v>-5</v>
      </c>
    </row>
    <row r="416" spans="1:10" x14ac:dyDescent="0.25">
      <c r="A416" s="5">
        <v>44457</v>
      </c>
      <c r="B416" s="6" t="s">
        <v>42</v>
      </c>
      <c r="C416" s="6">
        <v>40</v>
      </c>
      <c r="D416" s="6"/>
      <c r="E416" s="6" t="s">
        <v>42</v>
      </c>
      <c r="F416" s="6" t="s">
        <v>20</v>
      </c>
      <c r="G416" s="6" t="s">
        <v>17</v>
      </c>
      <c r="H416" s="6">
        <f>MONTH([1]Dataset!$A416)</f>
        <v>9</v>
      </c>
      <c r="I416" s="7">
        <f>WEEKDAY([1]Dataset!$A416)</f>
        <v>7</v>
      </c>
      <c r="J416" s="8">
        <f>[1]Dataset!$D416-[1]Dataset!$C416</f>
        <v>-40</v>
      </c>
    </row>
    <row r="417" spans="1:10" x14ac:dyDescent="0.25">
      <c r="A417" s="9">
        <v>44458</v>
      </c>
      <c r="B417" s="10" t="s">
        <v>43</v>
      </c>
      <c r="C417" s="10">
        <v>53</v>
      </c>
      <c r="D417" s="10"/>
      <c r="E417" s="10" t="s">
        <v>44</v>
      </c>
      <c r="F417" s="10" t="s">
        <v>31</v>
      </c>
      <c r="G417" s="10" t="s">
        <v>17</v>
      </c>
      <c r="H417" s="10">
        <f>MONTH([1]Dataset!$A417)</f>
        <v>9</v>
      </c>
      <c r="I417" s="11">
        <f>WEEKDAY([1]Dataset!$A417)</f>
        <v>1</v>
      </c>
      <c r="J417" s="12">
        <f>[1]Dataset!$D417-[1]Dataset!$C417</f>
        <v>-53</v>
      </c>
    </row>
    <row r="418" spans="1:10" x14ac:dyDescent="0.25">
      <c r="A418" s="5">
        <v>44458</v>
      </c>
      <c r="B418" s="6" t="s">
        <v>45</v>
      </c>
      <c r="C418" s="6">
        <v>35</v>
      </c>
      <c r="D418" s="6"/>
      <c r="E418" s="6" t="s">
        <v>30</v>
      </c>
      <c r="F418" s="6" t="s">
        <v>31</v>
      </c>
      <c r="G418" s="6" t="s">
        <v>17</v>
      </c>
      <c r="H418" s="6">
        <f>MONTH([1]Dataset!$A418)</f>
        <v>9</v>
      </c>
      <c r="I418" s="7">
        <f>WEEKDAY([1]Dataset!$A418)</f>
        <v>1</v>
      </c>
      <c r="J418" s="8">
        <f>[1]Dataset!$D418-[1]Dataset!$C418</f>
        <v>-35</v>
      </c>
    </row>
    <row r="419" spans="1:10" x14ac:dyDescent="0.25">
      <c r="A419" s="9">
        <v>44458</v>
      </c>
      <c r="B419" s="10" t="s">
        <v>14</v>
      </c>
      <c r="C419" s="10">
        <v>5</v>
      </c>
      <c r="D419" s="10"/>
      <c r="E419" s="10" t="s">
        <v>15</v>
      </c>
      <c r="F419" s="10" t="s">
        <v>16</v>
      </c>
      <c r="G419" s="10" t="s">
        <v>17</v>
      </c>
      <c r="H419" s="10">
        <f>MONTH([1]Dataset!$A419)</f>
        <v>9</v>
      </c>
      <c r="I419" s="11">
        <f>WEEKDAY([1]Dataset!$A419)</f>
        <v>1</v>
      </c>
      <c r="J419" s="12">
        <f>[1]Dataset!$D419-[1]Dataset!$C419</f>
        <v>-5</v>
      </c>
    </row>
    <row r="420" spans="1:10" x14ac:dyDescent="0.25">
      <c r="A420" s="5">
        <v>44459</v>
      </c>
      <c r="B420" s="6" t="s">
        <v>14</v>
      </c>
      <c r="C420" s="6">
        <v>5</v>
      </c>
      <c r="D420" s="6"/>
      <c r="E420" s="6" t="s">
        <v>15</v>
      </c>
      <c r="F420" s="6" t="s">
        <v>16</v>
      </c>
      <c r="G420" s="6" t="s">
        <v>17</v>
      </c>
      <c r="H420" s="6">
        <f>MONTH([1]Dataset!$A420)</f>
        <v>9</v>
      </c>
      <c r="I420" s="7">
        <f>WEEKDAY([1]Dataset!$A420)</f>
        <v>2</v>
      </c>
      <c r="J420" s="8">
        <f>[1]Dataset!$D420-[1]Dataset!$C420</f>
        <v>-5</v>
      </c>
    </row>
    <row r="421" spans="1:10" x14ac:dyDescent="0.25">
      <c r="A421" s="9">
        <v>44460</v>
      </c>
      <c r="B421" s="10" t="s">
        <v>14</v>
      </c>
      <c r="C421" s="10">
        <v>5</v>
      </c>
      <c r="D421" s="10"/>
      <c r="E421" s="10" t="s">
        <v>15</v>
      </c>
      <c r="F421" s="10" t="s">
        <v>16</v>
      </c>
      <c r="G421" s="10" t="s">
        <v>17</v>
      </c>
      <c r="H421" s="10">
        <f>MONTH([1]Dataset!$A421)</f>
        <v>9</v>
      </c>
      <c r="I421" s="11">
        <f>WEEKDAY([1]Dataset!$A421)</f>
        <v>3</v>
      </c>
      <c r="J421" s="12">
        <f>[1]Dataset!$D421-[1]Dataset!$C421</f>
        <v>-5</v>
      </c>
    </row>
    <row r="422" spans="1:10" x14ac:dyDescent="0.25">
      <c r="A422" s="5">
        <v>44460</v>
      </c>
      <c r="B422" s="6" t="s">
        <v>24</v>
      </c>
      <c r="C422" s="6">
        <v>177.9</v>
      </c>
      <c r="D422" s="6"/>
      <c r="E422" s="6" t="s">
        <v>25</v>
      </c>
      <c r="F422" s="6" t="s">
        <v>20</v>
      </c>
      <c r="G422" s="6" t="s">
        <v>17</v>
      </c>
      <c r="H422" s="6">
        <f>MONTH([1]Dataset!$A422)</f>
        <v>9</v>
      </c>
      <c r="I422" s="7">
        <f>WEEKDAY([1]Dataset!$A422)</f>
        <v>3</v>
      </c>
      <c r="J422" s="8">
        <f>[1]Dataset!$D422-[1]Dataset!$C422</f>
        <v>-177.9</v>
      </c>
    </row>
    <row r="423" spans="1:10" x14ac:dyDescent="0.25">
      <c r="A423" s="9">
        <v>44461</v>
      </c>
      <c r="B423" s="10" t="s">
        <v>46</v>
      </c>
      <c r="C423" s="10">
        <v>45.300000000000004</v>
      </c>
      <c r="D423" s="10"/>
      <c r="E423" s="10" t="s">
        <v>35</v>
      </c>
      <c r="F423" s="10" t="s">
        <v>16</v>
      </c>
      <c r="G423" s="10" t="s">
        <v>17</v>
      </c>
      <c r="H423" s="10">
        <f>MONTH([1]Dataset!$A423)</f>
        <v>9</v>
      </c>
      <c r="I423" s="11">
        <f>WEEKDAY([1]Dataset!$A423)</f>
        <v>4</v>
      </c>
      <c r="J423" s="12">
        <f>[1]Dataset!$D423-[1]Dataset!$C423</f>
        <v>-45.300000000000004</v>
      </c>
    </row>
    <row r="424" spans="1:10" x14ac:dyDescent="0.25">
      <c r="A424" s="5">
        <v>44462</v>
      </c>
      <c r="B424" s="6" t="s">
        <v>47</v>
      </c>
      <c r="C424" s="6">
        <v>20.099999999999998</v>
      </c>
      <c r="D424" s="6"/>
      <c r="E424" s="6" t="s">
        <v>35</v>
      </c>
      <c r="F424" s="6" t="s">
        <v>16</v>
      </c>
      <c r="G424" s="6" t="s">
        <v>17</v>
      </c>
      <c r="H424" s="6">
        <f>MONTH([1]Dataset!$A424)</f>
        <v>9</v>
      </c>
      <c r="I424" s="7">
        <f>WEEKDAY([1]Dataset!$A424)</f>
        <v>5</v>
      </c>
      <c r="J424" s="8">
        <f>[1]Dataset!$D424-[1]Dataset!$C424</f>
        <v>-20.099999999999998</v>
      </c>
    </row>
    <row r="425" spans="1:10" x14ac:dyDescent="0.25">
      <c r="A425" s="9">
        <v>44463</v>
      </c>
      <c r="B425" s="10" t="s">
        <v>48</v>
      </c>
      <c r="C425" s="10">
        <v>55</v>
      </c>
      <c r="D425" s="10"/>
      <c r="E425" s="10" t="s">
        <v>49</v>
      </c>
      <c r="F425" s="10" t="s">
        <v>50</v>
      </c>
      <c r="G425" s="10" t="s">
        <v>17</v>
      </c>
      <c r="H425" s="10">
        <f>MONTH([1]Dataset!$A425)</f>
        <v>9</v>
      </c>
      <c r="I425" s="11">
        <f>WEEKDAY([1]Dataset!$A425)</f>
        <v>6</v>
      </c>
      <c r="J425" s="12">
        <f>[1]Dataset!$D425-[1]Dataset!$C425</f>
        <v>-55</v>
      </c>
    </row>
    <row r="426" spans="1:10" x14ac:dyDescent="0.25">
      <c r="A426" s="5">
        <v>44463</v>
      </c>
      <c r="B426" s="6" t="s">
        <v>28</v>
      </c>
      <c r="C426" s="6">
        <v>70.600000000000023</v>
      </c>
      <c r="D426" s="6"/>
      <c r="E426" s="6" t="s">
        <v>51</v>
      </c>
      <c r="F426" s="6" t="s">
        <v>23</v>
      </c>
      <c r="G426" s="6" t="s">
        <v>17</v>
      </c>
      <c r="H426" s="6">
        <f>MONTH([1]Dataset!$A426)</f>
        <v>9</v>
      </c>
      <c r="I426" s="7">
        <f>WEEKDAY([1]Dataset!$A426)</f>
        <v>6</v>
      </c>
      <c r="J426" s="8">
        <f>[1]Dataset!$D426-[1]Dataset!$C426</f>
        <v>-70.600000000000023</v>
      </c>
    </row>
    <row r="427" spans="1:10" x14ac:dyDescent="0.25">
      <c r="A427" s="9">
        <v>44463</v>
      </c>
      <c r="B427" s="10" t="s">
        <v>14</v>
      </c>
      <c r="C427" s="10">
        <v>5</v>
      </c>
      <c r="D427" s="10"/>
      <c r="E427" s="10" t="s">
        <v>15</v>
      </c>
      <c r="F427" s="10" t="s">
        <v>16</v>
      </c>
      <c r="G427" s="10" t="s">
        <v>17</v>
      </c>
      <c r="H427" s="10">
        <f>MONTH([1]Dataset!$A427)</f>
        <v>9</v>
      </c>
      <c r="I427" s="11">
        <f>WEEKDAY([1]Dataset!$A427)</f>
        <v>6</v>
      </c>
      <c r="J427" s="12">
        <f>[1]Dataset!$D427-[1]Dataset!$C427</f>
        <v>-5</v>
      </c>
    </row>
    <row r="428" spans="1:10" x14ac:dyDescent="0.25">
      <c r="A428" s="5">
        <v>44464</v>
      </c>
      <c r="B428" s="6" t="s">
        <v>14</v>
      </c>
      <c r="C428" s="6">
        <v>5</v>
      </c>
      <c r="D428" s="6"/>
      <c r="E428" s="6" t="s">
        <v>15</v>
      </c>
      <c r="F428" s="6" t="s">
        <v>16</v>
      </c>
      <c r="G428" s="6" t="s">
        <v>17</v>
      </c>
      <c r="H428" s="6">
        <f>MONTH([1]Dataset!$A428)</f>
        <v>9</v>
      </c>
      <c r="I428" s="7">
        <f>WEEKDAY([1]Dataset!$A428)</f>
        <v>7</v>
      </c>
      <c r="J428" s="8">
        <f>[1]Dataset!$D428-[1]Dataset!$C428</f>
        <v>-5</v>
      </c>
    </row>
    <row r="429" spans="1:10" x14ac:dyDescent="0.25">
      <c r="A429" s="9">
        <v>44465</v>
      </c>
      <c r="B429" s="10" t="s">
        <v>14</v>
      </c>
      <c r="C429" s="10">
        <v>5</v>
      </c>
      <c r="D429" s="10"/>
      <c r="E429" s="10" t="s">
        <v>15</v>
      </c>
      <c r="F429" s="10" t="s">
        <v>16</v>
      </c>
      <c r="G429" s="10" t="s">
        <v>17</v>
      </c>
      <c r="H429" s="10">
        <f>MONTH([1]Dataset!$A429)</f>
        <v>9</v>
      </c>
      <c r="I429" s="11">
        <f>WEEKDAY([1]Dataset!$A429)</f>
        <v>1</v>
      </c>
      <c r="J429" s="12">
        <f>[1]Dataset!$D429-[1]Dataset!$C429</f>
        <v>-5</v>
      </c>
    </row>
    <row r="430" spans="1:10" x14ac:dyDescent="0.25">
      <c r="A430" s="5">
        <v>44466</v>
      </c>
      <c r="B430" s="6" t="s">
        <v>14</v>
      </c>
      <c r="C430" s="6">
        <v>5</v>
      </c>
      <c r="D430" s="6"/>
      <c r="E430" s="6" t="s">
        <v>15</v>
      </c>
      <c r="F430" s="6" t="s">
        <v>16</v>
      </c>
      <c r="G430" s="6" t="s">
        <v>17</v>
      </c>
      <c r="H430" s="6">
        <f>MONTH([1]Dataset!$A430)</f>
        <v>9</v>
      </c>
      <c r="I430" s="7">
        <f>WEEKDAY([1]Dataset!$A430)</f>
        <v>2</v>
      </c>
      <c r="J430" s="8">
        <f>[1]Dataset!$D430-[1]Dataset!$C430</f>
        <v>-5</v>
      </c>
    </row>
    <row r="431" spans="1:10" x14ac:dyDescent="0.25">
      <c r="A431" s="9">
        <v>44467</v>
      </c>
      <c r="B431" s="10" t="s">
        <v>14</v>
      </c>
      <c r="C431" s="10">
        <v>5</v>
      </c>
      <c r="D431" s="10"/>
      <c r="E431" s="10" t="s">
        <v>15</v>
      </c>
      <c r="F431" s="10" t="s">
        <v>16</v>
      </c>
      <c r="G431" s="10" t="s">
        <v>17</v>
      </c>
      <c r="H431" s="10">
        <f>MONTH([1]Dataset!$A431)</f>
        <v>9</v>
      </c>
      <c r="I431" s="11">
        <f>WEEKDAY([1]Dataset!$A431)</f>
        <v>3</v>
      </c>
      <c r="J431" s="12">
        <f>[1]Dataset!$D431-[1]Dataset!$C431</f>
        <v>-5</v>
      </c>
    </row>
    <row r="432" spans="1:10" x14ac:dyDescent="0.25">
      <c r="A432" s="5">
        <v>44467</v>
      </c>
      <c r="B432" s="6" t="s">
        <v>24</v>
      </c>
      <c r="C432" s="6">
        <v>223</v>
      </c>
      <c r="D432" s="6"/>
      <c r="E432" s="6" t="s">
        <v>25</v>
      </c>
      <c r="F432" s="6" t="s">
        <v>20</v>
      </c>
      <c r="G432" s="6" t="s">
        <v>17</v>
      </c>
      <c r="H432" s="6">
        <f>MONTH([1]Dataset!$A432)</f>
        <v>9</v>
      </c>
      <c r="I432" s="7">
        <f>WEEKDAY([1]Dataset!$A432)</f>
        <v>3</v>
      </c>
      <c r="J432" s="8">
        <f>[1]Dataset!$D432-[1]Dataset!$C432</f>
        <v>-223</v>
      </c>
    </row>
    <row r="433" spans="1:10" x14ac:dyDescent="0.25">
      <c r="A433" s="9">
        <v>44468</v>
      </c>
      <c r="B433" s="10" t="s">
        <v>52</v>
      </c>
      <c r="C433" s="10">
        <v>132.9</v>
      </c>
      <c r="D433" s="10"/>
      <c r="E433" s="10" t="s">
        <v>33</v>
      </c>
      <c r="F433" s="10" t="s">
        <v>31</v>
      </c>
      <c r="G433" s="10" t="s">
        <v>17</v>
      </c>
      <c r="H433" s="10">
        <f>MONTH([1]Dataset!$A433)</f>
        <v>9</v>
      </c>
      <c r="I433" s="11">
        <f>WEEKDAY([1]Dataset!$A433)</f>
        <v>4</v>
      </c>
      <c r="J433" s="12">
        <f>[1]Dataset!$D433-[1]Dataset!$C433</f>
        <v>-132.9</v>
      </c>
    </row>
    <row r="434" spans="1:10" x14ac:dyDescent="0.25">
      <c r="A434" s="5">
        <v>44468</v>
      </c>
      <c r="B434" s="6" t="s">
        <v>54</v>
      </c>
      <c r="C434" s="6">
        <v>175</v>
      </c>
      <c r="D434" s="6"/>
      <c r="E434" s="6" t="s">
        <v>33</v>
      </c>
      <c r="F434" s="6" t="s">
        <v>31</v>
      </c>
      <c r="G434" s="6" t="s">
        <v>17</v>
      </c>
      <c r="H434" s="6">
        <f>MONTH([1]Dataset!$A434)</f>
        <v>9</v>
      </c>
      <c r="I434" s="7">
        <f>WEEKDAY([1]Dataset!$A434)</f>
        <v>4</v>
      </c>
      <c r="J434" s="8">
        <f>[1]Dataset!$D434-[1]Dataset!$C434</f>
        <v>-175</v>
      </c>
    </row>
    <row r="435" spans="1:10" x14ac:dyDescent="0.25">
      <c r="A435" s="9">
        <v>44469</v>
      </c>
      <c r="B435" s="10" t="s">
        <v>32</v>
      </c>
      <c r="C435" s="10">
        <v>153.39999999999998</v>
      </c>
      <c r="D435" s="10"/>
      <c r="E435" s="10" t="s">
        <v>33</v>
      </c>
      <c r="F435" s="10" t="s">
        <v>31</v>
      </c>
      <c r="G435" s="10" t="s">
        <v>17</v>
      </c>
      <c r="H435" s="10">
        <f>MONTH([1]Dataset!$A435)</f>
        <v>9</v>
      </c>
      <c r="I435" s="11">
        <f>WEEKDAY([1]Dataset!$A435)</f>
        <v>5</v>
      </c>
      <c r="J435" s="12">
        <f>[1]Dataset!$D435-[1]Dataset!$C435</f>
        <v>-153.39999999999998</v>
      </c>
    </row>
    <row r="436" spans="1:10" x14ac:dyDescent="0.25">
      <c r="A436" s="5">
        <v>44469</v>
      </c>
      <c r="B436" s="6" t="s">
        <v>36</v>
      </c>
      <c r="C436" s="6">
        <v>31.200000000000003</v>
      </c>
      <c r="D436" s="6"/>
      <c r="E436" s="6" t="s">
        <v>37</v>
      </c>
      <c r="F436" s="6" t="s">
        <v>23</v>
      </c>
      <c r="G436" s="6" t="s">
        <v>17</v>
      </c>
      <c r="H436" s="6">
        <f>MONTH([1]Dataset!$A436)</f>
        <v>9</v>
      </c>
      <c r="I436" s="7">
        <f>WEEKDAY([1]Dataset!$A436)</f>
        <v>5</v>
      </c>
      <c r="J436" s="8">
        <f>[1]Dataset!$D436-[1]Dataset!$C436</f>
        <v>-31.200000000000003</v>
      </c>
    </row>
    <row r="437" spans="1:10" x14ac:dyDescent="0.25">
      <c r="A437" s="9">
        <v>44469</v>
      </c>
      <c r="B437" s="10" t="s">
        <v>59</v>
      </c>
      <c r="C437" s="10">
        <v>15</v>
      </c>
      <c r="D437" s="10"/>
      <c r="E437" s="10" t="s">
        <v>35</v>
      </c>
      <c r="F437" s="10" t="s">
        <v>16</v>
      </c>
      <c r="G437" s="10" t="s">
        <v>17</v>
      </c>
      <c r="H437" s="10">
        <f>MONTH([1]Dataset!$A437)</f>
        <v>9</v>
      </c>
      <c r="I437" s="11">
        <f>WEEKDAY([1]Dataset!$A437)</f>
        <v>5</v>
      </c>
      <c r="J437" s="12">
        <f>[1]Dataset!$D437-[1]Dataset!$C437</f>
        <v>-15</v>
      </c>
    </row>
    <row r="438" spans="1:10" x14ac:dyDescent="0.25">
      <c r="A438" s="5">
        <v>44470</v>
      </c>
      <c r="B438" s="6" t="s">
        <v>14</v>
      </c>
      <c r="C438" s="6">
        <v>5</v>
      </c>
      <c r="D438" s="6"/>
      <c r="E438" s="6" t="s">
        <v>15</v>
      </c>
      <c r="F438" s="6" t="s">
        <v>16</v>
      </c>
      <c r="G438" s="6" t="s">
        <v>17</v>
      </c>
      <c r="H438" s="6">
        <f>MONTH([1]Dataset!$A438)</f>
        <v>10</v>
      </c>
      <c r="I438" s="7">
        <f>WEEKDAY([1]Dataset!$A438)</f>
        <v>6</v>
      </c>
      <c r="J438" s="8">
        <f>[1]Dataset!$D438-[1]Dataset!$C438</f>
        <v>-5</v>
      </c>
    </row>
    <row r="439" spans="1:10" x14ac:dyDescent="0.25">
      <c r="A439" s="9">
        <v>44472</v>
      </c>
      <c r="B439" s="10" t="s">
        <v>14</v>
      </c>
      <c r="C439" s="10">
        <v>5</v>
      </c>
      <c r="D439" s="10"/>
      <c r="E439" s="10" t="s">
        <v>15</v>
      </c>
      <c r="F439" s="10" t="s">
        <v>16</v>
      </c>
      <c r="G439" s="10" t="s">
        <v>17</v>
      </c>
      <c r="H439" s="10">
        <f>MONTH([1]Dataset!$A439)</f>
        <v>10</v>
      </c>
      <c r="I439" s="11">
        <f>WEEKDAY([1]Dataset!$A439)</f>
        <v>1</v>
      </c>
      <c r="J439" s="12">
        <f>[1]Dataset!$D439-[1]Dataset!$C439</f>
        <v>-5</v>
      </c>
    </row>
    <row r="440" spans="1:10" x14ac:dyDescent="0.25">
      <c r="A440" s="5">
        <v>44472</v>
      </c>
      <c r="B440" s="6" t="s">
        <v>10</v>
      </c>
      <c r="C440" s="6"/>
      <c r="D440" s="6">
        <v>5000</v>
      </c>
      <c r="E440" s="6" t="s">
        <v>11</v>
      </c>
      <c r="F440" s="6" t="s">
        <v>12</v>
      </c>
      <c r="G440" s="6" t="s">
        <v>13</v>
      </c>
      <c r="H440" s="6">
        <f>MONTH([1]Dataset!$A440)</f>
        <v>10</v>
      </c>
      <c r="I440" s="7">
        <f>WEEKDAY([1]Dataset!$A440)</f>
        <v>1</v>
      </c>
      <c r="J440" s="8">
        <f>[1]Dataset!$D440-[1]Dataset!$C440</f>
        <v>5000</v>
      </c>
    </row>
    <row r="441" spans="1:10" x14ac:dyDescent="0.25">
      <c r="A441" s="9">
        <v>44473</v>
      </c>
      <c r="B441" s="10" t="s">
        <v>14</v>
      </c>
      <c r="C441" s="10">
        <v>5</v>
      </c>
      <c r="D441" s="10"/>
      <c r="E441" s="10" t="s">
        <v>15</v>
      </c>
      <c r="F441" s="10" t="s">
        <v>16</v>
      </c>
      <c r="G441" s="10" t="s">
        <v>17</v>
      </c>
      <c r="H441" s="10">
        <f>MONTH([1]Dataset!$A441)</f>
        <v>10</v>
      </c>
      <c r="I441" s="11">
        <f>WEEKDAY([1]Dataset!$A441)</f>
        <v>2</v>
      </c>
      <c r="J441" s="12">
        <f>[1]Dataset!$D441-[1]Dataset!$C441</f>
        <v>-5</v>
      </c>
    </row>
    <row r="442" spans="1:10" x14ac:dyDescent="0.25">
      <c r="A442" s="5">
        <v>44475</v>
      </c>
      <c r="B442" s="6" t="s">
        <v>18</v>
      </c>
      <c r="C442" s="6">
        <v>900</v>
      </c>
      <c r="D442" s="6"/>
      <c r="E442" s="6" t="s">
        <v>19</v>
      </c>
      <c r="F442" s="6" t="s">
        <v>20</v>
      </c>
      <c r="G442" s="6" t="s">
        <v>17</v>
      </c>
      <c r="H442" s="6">
        <f>MONTH([1]Dataset!$A442)</f>
        <v>10</v>
      </c>
      <c r="I442" s="7">
        <f>WEEKDAY([1]Dataset!$A442)</f>
        <v>4</v>
      </c>
      <c r="J442" s="8">
        <f>[1]Dataset!$D442-[1]Dataset!$C442</f>
        <v>-900</v>
      </c>
    </row>
    <row r="443" spans="1:10" x14ac:dyDescent="0.25">
      <c r="A443" s="9">
        <v>44475</v>
      </c>
      <c r="B443" s="10" t="s">
        <v>21</v>
      </c>
      <c r="C443" s="10">
        <v>150</v>
      </c>
      <c r="D443" s="10"/>
      <c r="E443" s="10" t="s">
        <v>22</v>
      </c>
      <c r="F443" s="10" t="s">
        <v>23</v>
      </c>
      <c r="G443" s="10" t="s">
        <v>17</v>
      </c>
      <c r="H443" s="10">
        <f>MONTH([1]Dataset!$A443)</f>
        <v>10</v>
      </c>
      <c r="I443" s="11">
        <f>WEEKDAY([1]Dataset!$A443)</f>
        <v>4</v>
      </c>
      <c r="J443" s="12">
        <f>[1]Dataset!$D443-[1]Dataset!$C443</f>
        <v>-150</v>
      </c>
    </row>
    <row r="444" spans="1:10" x14ac:dyDescent="0.25">
      <c r="A444" s="5">
        <v>44475</v>
      </c>
      <c r="B444" s="6" t="s">
        <v>14</v>
      </c>
      <c r="C444" s="6">
        <v>5</v>
      </c>
      <c r="D444" s="6"/>
      <c r="E444" s="6" t="s">
        <v>15</v>
      </c>
      <c r="F444" s="6" t="s">
        <v>16</v>
      </c>
      <c r="G444" s="6" t="s">
        <v>17</v>
      </c>
      <c r="H444" s="6">
        <f>MONTH([1]Dataset!$A444)</f>
        <v>10</v>
      </c>
      <c r="I444" s="7">
        <f>WEEKDAY([1]Dataset!$A444)</f>
        <v>4</v>
      </c>
      <c r="J444" s="8">
        <f>[1]Dataset!$D444-[1]Dataset!$C444</f>
        <v>-5</v>
      </c>
    </row>
    <row r="445" spans="1:10" x14ac:dyDescent="0.25">
      <c r="A445" s="9">
        <v>44475</v>
      </c>
      <c r="B445" s="10" t="s">
        <v>14</v>
      </c>
      <c r="C445" s="10">
        <v>5</v>
      </c>
      <c r="D445" s="10"/>
      <c r="E445" s="10" t="s">
        <v>15</v>
      </c>
      <c r="F445" s="10" t="s">
        <v>16</v>
      </c>
      <c r="G445" s="10" t="s">
        <v>17</v>
      </c>
      <c r="H445" s="10">
        <f>MONTH([1]Dataset!$A445)</f>
        <v>10</v>
      </c>
      <c r="I445" s="11">
        <f>WEEKDAY([1]Dataset!$A445)</f>
        <v>4</v>
      </c>
      <c r="J445" s="12">
        <f>[1]Dataset!$D445-[1]Dataset!$C445</f>
        <v>-5</v>
      </c>
    </row>
    <row r="446" spans="1:10" x14ac:dyDescent="0.25">
      <c r="A446" s="5">
        <v>44476</v>
      </c>
      <c r="B446" s="6" t="s">
        <v>14</v>
      </c>
      <c r="C446" s="6">
        <v>5</v>
      </c>
      <c r="D446" s="6"/>
      <c r="E446" s="6" t="s">
        <v>15</v>
      </c>
      <c r="F446" s="6" t="s">
        <v>16</v>
      </c>
      <c r="G446" s="6" t="s">
        <v>17</v>
      </c>
      <c r="H446" s="6">
        <f>MONTH([1]Dataset!$A446)</f>
        <v>10</v>
      </c>
      <c r="I446" s="7">
        <f>WEEKDAY([1]Dataset!$A446)</f>
        <v>5</v>
      </c>
      <c r="J446" s="8">
        <f>[1]Dataset!$D446-[1]Dataset!$C446</f>
        <v>-5</v>
      </c>
    </row>
    <row r="447" spans="1:10" x14ac:dyDescent="0.25">
      <c r="A447" s="9">
        <v>44477</v>
      </c>
      <c r="B447" s="10" t="s">
        <v>14</v>
      </c>
      <c r="C447" s="10">
        <v>5</v>
      </c>
      <c r="D447" s="10"/>
      <c r="E447" s="10" t="s">
        <v>15</v>
      </c>
      <c r="F447" s="10" t="s">
        <v>16</v>
      </c>
      <c r="G447" s="10" t="s">
        <v>17</v>
      </c>
      <c r="H447" s="10">
        <f>MONTH([1]Dataset!$A447)</f>
        <v>10</v>
      </c>
      <c r="I447" s="11">
        <f>WEEKDAY([1]Dataset!$A447)</f>
        <v>6</v>
      </c>
      <c r="J447" s="12">
        <f>[1]Dataset!$D447-[1]Dataset!$C447</f>
        <v>-5</v>
      </c>
    </row>
    <row r="448" spans="1:10" x14ac:dyDescent="0.25">
      <c r="A448" s="5">
        <v>44477</v>
      </c>
      <c r="B448" s="6" t="s">
        <v>24</v>
      </c>
      <c r="C448" s="6">
        <v>105</v>
      </c>
      <c r="D448" s="6"/>
      <c r="E448" s="6" t="s">
        <v>25</v>
      </c>
      <c r="F448" s="6" t="s">
        <v>20</v>
      </c>
      <c r="G448" s="6" t="s">
        <v>17</v>
      </c>
      <c r="H448" s="6">
        <f>MONTH([1]Dataset!$A448)</f>
        <v>10</v>
      </c>
      <c r="I448" s="7">
        <f>WEEKDAY([1]Dataset!$A448)</f>
        <v>6</v>
      </c>
      <c r="J448" s="8">
        <f>[1]Dataset!$D448-[1]Dataset!$C448</f>
        <v>-105</v>
      </c>
    </row>
    <row r="449" spans="1:10" x14ac:dyDescent="0.25">
      <c r="A449" s="9">
        <v>44480</v>
      </c>
      <c r="B449" s="10" t="s">
        <v>26</v>
      </c>
      <c r="C449" s="10">
        <v>59</v>
      </c>
      <c r="D449" s="10"/>
      <c r="E449" s="10" t="s">
        <v>27</v>
      </c>
      <c r="F449" s="10" t="s">
        <v>20</v>
      </c>
      <c r="G449" s="10" t="s">
        <v>17</v>
      </c>
      <c r="H449" s="10">
        <f>MONTH([1]Dataset!$A449)</f>
        <v>10</v>
      </c>
      <c r="I449" s="11">
        <f>WEEKDAY([1]Dataset!$A449)</f>
        <v>2</v>
      </c>
      <c r="J449" s="12">
        <f>[1]Dataset!$D449-[1]Dataset!$C449</f>
        <v>-59</v>
      </c>
    </row>
    <row r="450" spans="1:10" x14ac:dyDescent="0.25">
      <c r="A450" s="5">
        <v>44480</v>
      </c>
      <c r="B450" s="6" t="s">
        <v>14</v>
      </c>
      <c r="C450" s="6">
        <v>5</v>
      </c>
      <c r="D450" s="6"/>
      <c r="E450" s="6" t="s">
        <v>15</v>
      </c>
      <c r="F450" s="6" t="s">
        <v>16</v>
      </c>
      <c r="G450" s="6" t="s">
        <v>17</v>
      </c>
      <c r="H450" s="6">
        <f>MONTH([1]Dataset!$A450)</f>
        <v>10</v>
      </c>
      <c r="I450" s="7">
        <f>WEEKDAY([1]Dataset!$A450)</f>
        <v>2</v>
      </c>
      <c r="J450" s="8">
        <f>[1]Dataset!$D450-[1]Dataset!$C450</f>
        <v>-5</v>
      </c>
    </row>
    <row r="451" spans="1:10" x14ac:dyDescent="0.25">
      <c r="A451" s="9">
        <v>44481</v>
      </c>
      <c r="B451" s="10" t="s">
        <v>14</v>
      </c>
      <c r="C451" s="10">
        <v>5</v>
      </c>
      <c r="D451" s="10"/>
      <c r="E451" s="10" t="s">
        <v>15</v>
      </c>
      <c r="F451" s="10" t="s">
        <v>16</v>
      </c>
      <c r="G451" s="10" t="s">
        <v>17</v>
      </c>
      <c r="H451" s="10">
        <f>MONTH([1]Dataset!$A451)</f>
        <v>10</v>
      </c>
      <c r="I451" s="11">
        <f>WEEKDAY([1]Dataset!$A451)</f>
        <v>3</v>
      </c>
      <c r="J451" s="12">
        <f>[1]Dataset!$D451-[1]Dataset!$C451</f>
        <v>-5</v>
      </c>
    </row>
    <row r="452" spans="1:10" x14ac:dyDescent="0.25">
      <c r="A452" s="5">
        <v>44482</v>
      </c>
      <c r="B452" s="6" t="s">
        <v>28</v>
      </c>
      <c r="C452" s="6">
        <v>86.399999999999977</v>
      </c>
      <c r="D452" s="6"/>
      <c r="E452" s="6" t="s">
        <v>51</v>
      </c>
      <c r="F452" s="6" t="s">
        <v>23</v>
      </c>
      <c r="G452" s="6" t="s">
        <v>17</v>
      </c>
      <c r="H452" s="6">
        <f>MONTH([1]Dataset!$A452)</f>
        <v>10</v>
      </c>
      <c r="I452" s="7">
        <f>WEEKDAY([1]Dataset!$A452)</f>
        <v>4</v>
      </c>
      <c r="J452" s="8">
        <f>[1]Dataset!$D452-[1]Dataset!$C452</f>
        <v>-86.399999999999977</v>
      </c>
    </row>
    <row r="453" spans="1:10" x14ac:dyDescent="0.25">
      <c r="A453" s="9">
        <v>44482</v>
      </c>
      <c r="B453" s="10" t="s">
        <v>14</v>
      </c>
      <c r="C453" s="10">
        <v>5</v>
      </c>
      <c r="D453" s="10"/>
      <c r="E453" s="10" t="s">
        <v>15</v>
      </c>
      <c r="F453" s="10" t="s">
        <v>16</v>
      </c>
      <c r="G453" s="10" t="s">
        <v>17</v>
      </c>
      <c r="H453" s="10">
        <f>MONTH([1]Dataset!$A453)</f>
        <v>10</v>
      </c>
      <c r="I453" s="11">
        <f>WEEKDAY([1]Dataset!$A453)</f>
        <v>4</v>
      </c>
      <c r="J453" s="12">
        <f>[1]Dataset!$D453-[1]Dataset!$C453</f>
        <v>-5</v>
      </c>
    </row>
    <row r="454" spans="1:10" x14ac:dyDescent="0.25">
      <c r="A454" s="5">
        <v>44483</v>
      </c>
      <c r="B454" s="6" t="s">
        <v>14</v>
      </c>
      <c r="C454" s="6">
        <v>5</v>
      </c>
      <c r="D454" s="6"/>
      <c r="E454" s="6" t="s">
        <v>15</v>
      </c>
      <c r="F454" s="6" t="s">
        <v>16</v>
      </c>
      <c r="G454" s="6" t="s">
        <v>17</v>
      </c>
      <c r="H454" s="6">
        <f>MONTH([1]Dataset!$A454)</f>
        <v>10</v>
      </c>
      <c r="I454" s="7">
        <f>WEEKDAY([1]Dataset!$A454)</f>
        <v>5</v>
      </c>
      <c r="J454" s="8">
        <f>[1]Dataset!$D454-[1]Dataset!$C454</f>
        <v>-5</v>
      </c>
    </row>
    <row r="455" spans="1:10" x14ac:dyDescent="0.25">
      <c r="A455" s="9">
        <v>44484</v>
      </c>
      <c r="B455" s="10" t="s">
        <v>24</v>
      </c>
      <c r="C455" s="10">
        <v>143.9</v>
      </c>
      <c r="D455" s="10"/>
      <c r="E455" s="10" t="s">
        <v>25</v>
      </c>
      <c r="F455" s="10" t="s">
        <v>20</v>
      </c>
      <c r="G455" s="10" t="s">
        <v>17</v>
      </c>
      <c r="H455" s="10">
        <f>MONTH([1]Dataset!$A455)</f>
        <v>10</v>
      </c>
      <c r="I455" s="11">
        <f>WEEKDAY([1]Dataset!$A455)</f>
        <v>6</v>
      </c>
      <c r="J455" s="12">
        <f>[1]Dataset!$D455-[1]Dataset!$C455</f>
        <v>-143.9</v>
      </c>
    </row>
    <row r="456" spans="1:10" x14ac:dyDescent="0.25">
      <c r="A456" s="5">
        <v>44484</v>
      </c>
      <c r="B456" s="6" t="s">
        <v>14</v>
      </c>
      <c r="C456" s="6">
        <v>5</v>
      </c>
      <c r="D456" s="6"/>
      <c r="E456" s="6" t="s">
        <v>15</v>
      </c>
      <c r="F456" s="6" t="s">
        <v>16</v>
      </c>
      <c r="G456" s="6" t="s">
        <v>17</v>
      </c>
      <c r="H456" s="6">
        <f>MONTH([1]Dataset!$A456)</f>
        <v>10</v>
      </c>
      <c r="I456" s="7">
        <f>WEEKDAY([1]Dataset!$A456)</f>
        <v>6</v>
      </c>
      <c r="J456" s="8">
        <f>[1]Dataset!$D456-[1]Dataset!$C456</f>
        <v>-5</v>
      </c>
    </row>
    <row r="457" spans="1:10" x14ac:dyDescent="0.25">
      <c r="A457" s="9">
        <v>44485</v>
      </c>
      <c r="B457" s="10" t="s">
        <v>14</v>
      </c>
      <c r="C457" s="10">
        <v>5</v>
      </c>
      <c r="D457" s="10"/>
      <c r="E457" s="10" t="s">
        <v>15</v>
      </c>
      <c r="F457" s="10" t="s">
        <v>16</v>
      </c>
      <c r="G457" s="10" t="s">
        <v>17</v>
      </c>
      <c r="H457" s="10">
        <f>MONTH([1]Dataset!$A457)</f>
        <v>10</v>
      </c>
      <c r="I457" s="11">
        <f>WEEKDAY([1]Dataset!$A457)</f>
        <v>7</v>
      </c>
      <c r="J457" s="12">
        <f>[1]Dataset!$D457-[1]Dataset!$C457</f>
        <v>-5</v>
      </c>
    </row>
    <row r="458" spans="1:10" x14ac:dyDescent="0.25">
      <c r="A458" s="5">
        <v>44485</v>
      </c>
      <c r="B458" s="6" t="s">
        <v>29</v>
      </c>
      <c r="C458" s="6">
        <v>48.8</v>
      </c>
      <c r="D458" s="6"/>
      <c r="E458" s="6" t="s">
        <v>30</v>
      </c>
      <c r="F458" s="6" t="s">
        <v>31</v>
      </c>
      <c r="G458" s="6" t="s">
        <v>17</v>
      </c>
      <c r="H458" s="6">
        <f>MONTH([1]Dataset!$A458)</f>
        <v>10</v>
      </c>
      <c r="I458" s="7">
        <f>WEEKDAY([1]Dataset!$A458)</f>
        <v>7</v>
      </c>
      <c r="J458" s="8">
        <f>[1]Dataset!$D458-[1]Dataset!$C458</f>
        <v>-48.8</v>
      </c>
    </row>
    <row r="459" spans="1:10" x14ac:dyDescent="0.25">
      <c r="A459" s="9">
        <v>44485</v>
      </c>
      <c r="B459" s="10" t="s">
        <v>32</v>
      </c>
      <c r="C459" s="10">
        <v>106.70000000000002</v>
      </c>
      <c r="D459" s="10"/>
      <c r="E459" s="10" t="s">
        <v>33</v>
      </c>
      <c r="F459" s="10" t="s">
        <v>31</v>
      </c>
      <c r="G459" s="10" t="s">
        <v>17</v>
      </c>
      <c r="H459" s="10">
        <f>MONTH([1]Dataset!$A459)</f>
        <v>10</v>
      </c>
      <c r="I459" s="11">
        <f>WEEKDAY([1]Dataset!$A459)</f>
        <v>7</v>
      </c>
      <c r="J459" s="12">
        <f>[1]Dataset!$D459-[1]Dataset!$C459</f>
        <v>-106.70000000000002</v>
      </c>
    </row>
    <row r="460" spans="1:10" x14ac:dyDescent="0.25">
      <c r="A460" s="5">
        <v>44485</v>
      </c>
      <c r="B460" s="6" t="s">
        <v>34</v>
      </c>
      <c r="C460" s="6">
        <v>61.1</v>
      </c>
      <c r="D460" s="6"/>
      <c r="E460" s="6" t="s">
        <v>35</v>
      </c>
      <c r="F460" s="6" t="s">
        <v>16</v>
      </c>
      <c r="G460" s="6" t="s">
        <v>17</v>
      </c>
      <c r="H460" s="6">
        <f>MONTH([1]Dataset!$A460)</f>
        <v>10</v>
      </c>
      <c r="I460" s="7">
        <f>WEEKDAY([1]Dataset!$A460)</f>
        <v>7</v>
      </c>
      <c r="J460" s="8">
        <f>[1]Dataset!$D460-[1]Dataset!$C460</f>
        <v>-61.1</v>
      </c>
    </row>
    <row r="461" spans="1:10" x14ac:dyDescent="0.25">
      <c r="A461" s="9">
        <v>44486</v>
      </c>
      <c r="B461" s="10" t="s">
        <v>36</v>
      </c>
      <c r="C461" s="10">
        <v>37.200000000000003</v>
      </c>
      <c r="D461" s="10"/>
      <c r="E461" s="10" t="s">
        <v>37</v>
      </c>
      <c r="F461" s="10" t="s">
        <v>23</v>
      </c>
      <c r="G461" s="10" t="s">
        <v>17</v>
      </c>
      <c r="H461" s="10">
        <f>MONTH([1]Dataset!$A461)</f>
        <v>10</v>
      </c>
      <c r="I461" s="11">
        <f>WEEKDAY([1]Dataset!$A461)</f>
        <v>1</v>
      </c>
      <c r="J461" s="12">
        <f>[1]Dataset!$D461-[1]Dataset!$C461</f>
        <v>-37.200000000000003</v>
      </c>
    </row>
    <row r="462" spans="1:10" x14ac:dyDescent="0.25">
      <c r="A462" s="5">
        <v>44487</v>
      </c>
      <c r="B462" s="6" t="s">
        <v>38</v>
      </c>
      <c r="C462" s="6"/>
      <c r="D462" s="6">
        <v>100</v>
      </c>
      <c r="E462" s="6" t="s">
        <v>39</v>
      </c>
      <c r="F462" s="6" t="s">
        <v>40</v>
      </c>
      <c r="G462" s="6" t="s">
        <v>13</v>
      </c>
      <c r="H462" s="6">
        <f>MONTH([1]Dataset!$A462)</f>
        <v>10</v>
      </c>
      <c r="I462" s="7">
        <f>WEEKDAY([1]Dataset!$A462)</f>
        <v>2</v>
      </c>
      <c r="J462" s="8">
        <f>[1]Dataset!$D462-[1]Dataset!$C462</f>
        <v>100</v>
      </c>
    </row>
    <row r="463" spans="1:10" x14ac:dyDescent="0.25">
      <c r="A463" s="9">
        <v>44487</v>
      </c>
      <c r="B463" s="10" t="s">
        <v>14</v>
      </c>
      <c r="C463" s="10">
        <v>5</v>
      </c>
      <c r="D463" s="10"/>
      <c r="E463" s="10" t="s">
        <v>15</v>
      </c>
      <c r="F463" s="10" t="s">
        <v>16</v>
      </c>
      <c r="G463" s="10" t="s">
        <v>17</v>
      </c>
      <c r="H463" s="10">
        <f>MONTH([1]Dataset!$A463)</f>
        <v>10</v>
      </c>
      <c r="I463" s="11">
        <f>WEEKDAY([1]Dataset!$A463)</f>
        <v>2</v>
      </c>
      <c r="J463" s="12">
        <f>[1]Dataset!$D463-[1]Dataset!$C463</f>
        <v>-5</v>
      </c>
    </row>
    <row r="464" spans="1:10" x14ac:dyDescent="0.25">
      <c r="A464" s="5">
        <v>44488</v>
      </c>
      <c r="B464" s="6" t="s">
        <v>14</v>
      </c>
      <c r="C464" s="6">
        <v>5</v>
      </c>
      <c r="D464" s="6"/>
      <c r="E464" s="6" t="s">
        <v>15</v>
      </c>
      <c r="F464" s="6" t="s">
        <v>16</v>
      </c>
      <c r="G464" s="6" t="s">
        <v>17</v>
      </c>
      <c r="H464" s="6">
        <f>MONTH([1]Dataset!$A464)</f>
        <v>10</v>
      </c>
      <c r="I464" s="7">
        <f>WEEKDAY([1]Dataset!$A464)</f>
        <v>3</v>
      </c>
      <c r="J464" s="8">
        <f>[1]Dataset!$D464-[1]Dataset!$C464</f>
        <v>-5</v>
      </c>
    </row>
    <row r="465" spans="1:10" x14ac:dyDescent="0.25">
      <c r="A465" s="9">
        <v>44488</v>
      </c>
      <c r="B465" s="10" t="s">
        <v>55</v>
      </c>
      <c r="C465" s="10">
        <v>75</v>
      </c>
      <c r="D465" s="10"/>
      <c r="E465" s="10" t="s">
        <v>56</v>
      </c>
      <c r="F465" s="10" t="s">
        <v>57</v>
      </c>
      <c r="G465" s="10" t="s">
        <v>17</v>
      </c>
      <c r="H465" s="10">
        <f>MONTH([1]Dataset!$A465)</f>
        <v>10</v>
      </c>
      <c r="I465" s="11">
        <f>WEEKDAY([1]Dataset!$A465)</f>
        <v>3</v>
      </c>
      <c r="J465" s="12">
        <f>[1]Dataset!$D465-[1]Dataset!$C465</f>
        <v>-75</v>
      </c>
    </row>
    <row r="466" spans="1:10" x14ac:dyDescent="0.25">
      <c r="A466" s="5">
        <v>44488</v>
      </c>
      <c r="B466" s="6" t="s">
        <v>42</v>
      </c>
      <c r="C466" s="6">
        <v>40</v>
      </c>
      <c r="D466" s="6"/>
      <c r="E466" s="6" t="s">
        <v>42</v>
      </c>
      <c r="F466" s="6" t="s">
        <v>20</v>
      </c>
      <c r="G466" s="6" t="s">
        <v>17</v>
      </c>
      <c r="H466" s="6">
        <f>MONTH([1]Dataset!$A466)</f>
        <v>10</v>
      </c>
      <c r="I466" s="7">
        <f>WEEKDAY([1]Dataset!$A466)</f>
        <v>3</v>
      </c>
      <c r="J466" s="8">
        <f>[1]Dataset!$D466-[1]Dataset!$C466</f>
        <v>-40</v>
      </c>
    </row>
    <row r="467" spans="1:10" x14ac:dyDescent="0.25">
      <c r="A467" s="9">
        <v>44489</v>
      </c>
      <c r="B467" s="10" t="s">
        <v>43</v>
      </c>
      <c r="C467" s="10">
        <v>54.1</v>
      </c>
      <c r="D467" s="10"/>
      <c r="E467" s="10" t="s">
        <v>44</v>
      </c>
      <c r="F467" s="10" t="s">
        <v>31</v>
      </c>
      <c r="G467" s="10" t="s">
        <v>17</v>
      </c>
      <c r="H467" s="10">
        <f>MONTH([1]Dataset!$A467)</f>
        <v>10</v>
      </c>
      <c r="I467" s="11">
        <f>WEEKDAY([1]Dataset!$A467)</f>
        <v>4</v>
      </c>
      <c r="J467" s="12">
        <f>[1]Dataset!$D467-[1]Dataset!$C467</f>
        <v>-54.1</v>
      </c>
    </row>
    <row r="468" spans="1:10" x14ac:dyDescent="0.25">
      <c r="A468" s="5">
        <v>44489</v>
      </c>
      <c r="B468" s="6" t="s">
        <v>45</v>
      </c>
      <c r="C468" s="6">
        <v>35</v>
      </c>
      <c r="D468" s="6"/>
      <c r="E468" s="6" t="s">
        <v>30</v>
      </c>
      <c r="F468" s="6" t="s">
        <v>31</v>
      </c>
      <c r="G468" s="6" t="s">
        <v>17</v>
      </c>
      <c r="H468" s="6">
        <f>MONTH([1]Dataset!$A468)</f>
        <v>10</v>
      </c>
      <c r="I468" s="7">
        <f>WEEKDAY([1]Dataset!$A468)</f>
        <v>4</v>
      </c>
      <c r="J468" s="8">
        <f>[1]Dataset!$D468-[1]Dataset!$C468</f>
        <v>-35</v>
      </c>
    </row>
    <row r="469" spans="1:10" x14ac:dyDescent="0.25">
      <c r="A469" s="9">
        <v>44489</v>
      </c>
      <c r="B469" s="10" t="s">
        <v>14</v>
      </c>
      <c r="C469" s="10">
        <v>5</v>
      </c>
      <c r="D469" s="10"/>
      <c r="E469" s="10" t="s">
        <v>15</v>
      </c>
      <c r="F469" s="10" t="s">
        <v>16</v>
      </c>
      <c r="G469" s="10" t="s">
        <v>17</v>
      </c>
      <c r="H469" s="10">
        <f>MONTH([1]Dataset!$A469)</f>
        <v>10</v>
      </c>
      <c r="I469" s="11">
        <f>WEEKDAY([1]Dataset!$A469)</f>
        <v>4</v>
      </c>
      <c r="J469" s="12">
        <f>[1]Dataset!$D469-[1]Dataset!$C469</f>
        <v>-5</v>
      </c>
    </row>
    <row r="470" spans="1:10" x14ac:dyDescent="0.25">
      <c r="A470" s="5">
        <v>44490</v>
      </c>
      <c r="B470" s="6" t="s">
        <v>14</v>
      </c>
      <c r="C470" s="6">
        <v>5</v>
      </c>
      <c r="D470" s="6"/>
      <c r="E470" s="6" t="s">
        <v>15</v>
      </c>
      <c r="F470" s="6" t="s">
        <v>16</v>
      </c>
      <c r="G470" s="6" t="s">
        <v>17</v>
      </c>
      <c r="H470" s="6">
        <f>MONTH([1]Dataset!$A470)</f>
        <v>10</v>
      </c>
      <c r="I470" s="7">
        <f>WEEKDAY([1]Dataset!$A470)</f>
        <v>5</v>
      </c>
      <c r="J470" s="8">
        <f>[1]Dataset!$D470-[1]Dataset!$C470</f>
        <v>-5</v>
      </c>
    </row>
    <row r="471" spans="1:10" x14ac:dyDescent="0.25">
      <c r="A471" s="9">
        <v>44491</v>
      </c>
      <c r="B471" s="10" t="s">
        <v>14</v>
      </c>
      <c r="C471" s="10">
        <v>5</v>
      </c>
      <c r="D471" s="10"/>
      <c r="E471" s="10" t="s">
        <v>15</v>
      </c>
      <c r="F471" s="10" t="s">
        <v>16</v>
      </c>
      <c r="G471" s="10" t="s">
        <v>17</v>
      </c>
      <c r="H471" s="10">
        <f>MONTH([1]Dataset!$A471)</f>
        <v>10</v>
      </c>
      <c r="I471" s="11">
        <f>WEEKDAY([1]Dataset!$A471)</f>
        <v>6</v>
      </c>
      <c r="J471" s="12">
        <f>[1]Dataset!$D471-[1]Dataset!$C471</f>
        <v>-5</v>
      </c>
    </row>
    <row r="472" spans="1:10" x14ac:dyDescent="0.25">
      <c r="A472" s="5">
        <v>44491</v>
      </c>
      <c r="B472" s="6" t="s">
        <v>24</v>
      </c>
      <c r="C472" s="6">
        <v>178.9</v>
      </c>
      <c r="D472" s="6"/>
      <c r="E472" s="6" t="s">
        <v>25</v>
      </c>
      <c r="F472" s="6" t="s">
        <v>20</v>
      </c>
      <c r="G472" s="6" t="s">
        <v>17</v>
      </c>
      <c r="H472" s="6">
        <f>MONTH([1]Dataset!$A472)</f>
        <v>10</v>
      </c>
      <c r="I472" s="7">
        <f>WEEKDAY([1]Dataset!$A472)</f>
        <v>6</v>
      </c>
      <c r="J472" s="8">
        <f>[1]Dataset!$D472-[1]Dataset!$C472</f>
        <v>-178.9</v>
      </c>
    </row>
    <row r="473" spans="1:10" x14ac:dyDescent="0.25">
      <c r="A473" s="9">
        <v>44492</v>
      </c>
      <c r="B473" s="10" t="s">
        <v>46</v>
      </c>
      <c r="C473" s="10">
        <v>46.2</v>
      </c>
      <c r="D473" s="10"/>
      <c r="E473" s="10" t="s">
        <v>35</v>
      </c>
      <c r="F473" s="10" t="s">
        <v>16</v>
      </c>
      <c r="G473" s="10" t="s">
        <v>17</v>
      </c>
      <c r="H473" s="10">
        <f>MONTH([1]Dataset!$A473)</f>
        <v>10</v>
      </c>
      <c r="I473" s="11">
        <f>WEEKDAY([1]Dataset!$A473)</f>
        <v>7</v>
      </c>
      <c r="J473" s="12">
        <f>[1]Dataset!$D473-[1]Dataset!$C473</f>
        <v>-46.2</v>
      </c>
    </row>
    <row r="474" spans="1:10" x14ac:dyDescent="0.25">
      <c r="A474" s="5">
        <v>44493</v>
      </c>
      <c r="B474" s="6" t="s">
        <v>47</v>
      </c>
      <c r="C474" s="6">
        <v>21.099999999999998</v>
      </c>
      <c r="D474" s="6"/>
      <c r="E474" s="6" t="s">
        <v>35</v>
      </c>
      <c r="F474" s="6" t="s">
        <v>16</v>
      </c>
      <c r="G474" s="6" t="s">
        <v>17</v>
      </c>
      <c r="H474" s="6">
        <f>MONTH([1]Dataset!$A474)</f>
        <v>10</v>
      </c>
      <c r="I474" s="7">
        <f>WEEKDAY([1]Dataset!$A474)</f>
        <v>1</v>
      </c>
      <c r="J474" s="8">
        <f>[1]Dataset!$D474-[1]Dataset!$C474</f>
        <v>-21.099999999999998</v>
      </c>
    </row>
    <row r="475" spans="1:10" x14ac:dyDescent="0.25">
      <c r="A475" s="9">
        <v>44494</v>
      </c>
      <c r="B475" s="10" t="s">
        <v>48</v>
      </c>
      <c r="C475" s="10">
        <v>55</v>
      </c>
      <c r="D475" s="10"/>
      <c r="E475" s="10" t="s">
        <v>49</v>
      </c>
      <c r="F475" s="10" t="s">
        <v>50</v>
      </c>
      <c r="G475" s="10" t="s">
        <v>17</v>
      </c>
      <c r="H475" s="10">
        <f>MONTH([1]Dataset!$A475)</f>
        <v>10</v>
      </c>
      <c r="I475" s="11">
        <f>WEEKDAY([1]Dataset!$A475)</f>
        <v>2</v>
      </c>
      <c r="J475" s="12">
        <f>[1]Dataset!$D475-[1]Dataset!$C475</f>
        <v>-55</v>
      </c>
    </row>
    <row r="476" spans="1:10" x14ac:dyDescent="0.25">
      <c r="A476" s="5">
        <v>44494</v>
      </c>
      <c r="B476" s="6" t="s">
        <v>28</v>
      </c>
      <c r="C476" s="6">
        <v>71.500000000000028</v>
      </c>
      <c r="D476" s="6"/>
      <c r="E476" s="6" t="s">
        <v>51</v>
      </c>
      <c r="F476" s="6" t="s">
        <v>23</v>
      </c>
      <c r="G476" s="6" t="s">
        <v>17</v>
      </c>
      <c r="H476" s="6">
        <f>MONTH([1]Dataset!$A476)</f>
        <v>10</v>
      </c>
      <c r="I476" s="7">
        <f>WEEKDAY([1]Dataset!$A476)</f>
        <v>2</v>
      </c>
      <c r="J476" s="8">
        <f>[1]Dataset!$D476-[1]Dataset!$C476</f>
        <v>-71.500000000000028</v>
      </c>
    </row>
    <row r="477" spans="1:10" x14ac:dyDescent="0.25">
      <c r="A477" s="9">
        <v>44494</v>
      </c>
      <c r="B477" s="10" t="s">
        <v>14</v>
      </c>
      <c r="C477" s="10">
        <v>5</v>
      </c>
      <c r="D477" s="10"/>
      <c r="E477" s="10" t="s">
        <v>15</v>
      </c>
      <c r="F477" s="10" t="s">
        <v>16</v>
      </c>
      <c r="G477" s="10" t="s">
        <v>17</v>
      </c>
      <c r="H477" s="10">
        <f>MONTH([1]Dataset!$A477)</f>
        <v>10</v>
      </c>
      <c r="I477" s="11">
        <f>WEEKDAY([1]Dataset!$A477)</f>
        <v>2</v>
      </c>
      <c r="J477" s="12">
        <f>[1]Dataset!$D477-[1]Dataset!$C477</f>
        <v>-5</v>
      </c>
    </row>
    <row r="478" spans="1:10" x14ac:dyDescent="0.25">
      <c r="A478" s="5">
        <v>44495</v>
      </c>
      <c r="B478" s="6" t="s">
        <v>14</v>
      </c>
      <c r="C478" s="6">
        <v>5</v>
      </c>
      <c r="D478" s="6"/>
      <c r="E478" s="6" t="s">
        <v>15</v>
      </c>
      <c r="F478" s="6" t="s">
        <v>16</v>
      </c>
      <c r="G478" s="6" t="s">
        <v>17</v>
      </c>
      <c r="H478" s="6">
        <f>MONTH([1]Dataset!$A478)</f>
        <v>10</v>
      </c>
      <c r="I478" s="7">
        <f>WEEKDAY([1]Dataset!$A478)</f>
        <v>3</v>
      </c>
      <c r="J478" s="8">
        <f>[1]Dataset!$D478-[1]Dataset!$C478</f>
        <v>-5</v>
      </c>
    </row>
    <row r="479" spans="1:10" x14ac:dyDescent="0.25">
      <c r="A479" s="9">
        <v>44496</v>
      </c>
      <c r="B479" s="10" t="s">
        <v>14</v>
      </c>
      <c r="C479" s="10">
        <v>5</v>
      </c>
      <c r="D479" s="10"/>
      <c r="E479" s="10" t="s">
        <v>15</v>
      </c>
      <c r="F479" s="10" t="s">
        <v>16</v>
      </c>
      <c r="G479" s="10" t="s">
        <v>17</v>
      </c>
      <c r="H479" s="10">
        <f>MONTH([1]Dataset!$A479)</f>
        <v>10</v>
      </c>
      <c r="I479" s="11">
        <f>WEEKDAY([1]Dataset!$A479)</f>
        <v>4</v>
      </c>
      <c r="J479" s="12">
        <f>[1]Dataset!$D479-[1]Dataset!$C479</f>
        <v>-5</v>
      </c>
    </row>
    <row r="480" spans="1:10" x14ac:dyDescent="0.25">
      <c r="A480" s="5">
        <v>44497</v>
      </c>
      <c r="B480" s="6" t="s">
        <v>14</v>
      </c>
      <c r="C480" s="6">
        <v>5</v>
      </c>
      <c r="D480" s="6"/>
      <c r="E480" s="6" t="s">
        <v>15</v>
      </c>
      <c r="F480" s="6" t="s">
        <v>16</v>
      </c>
      <c r="G480" s="6" t="s">
        <v>17</v>
      </c>
      <c r="H480" s="6">
        <f>MONTH([1]Dataset!$A480)</f>
        <v>10</v>
      </c>
      <c r="I480" s="7">
        <f>WEEKDAY([1]Dataset!$A480)</f>
        <v>5</v>
      </c>
      <c r="J480" s="8">
        <f>[1]Dataset!$D480-[1]Dataset!$C480</f>
        <v>-5</v>
      </c>
    </row>
    <row r="481" spans="1:10" x14ac:dyDescent="0.25">
      <c r="A481" s="9">
        <v>44498</v>
      </c>
      <c r="B481" s="10" t="s">
        <v>14</v>
      </c>
      <c r="C481" s="10">
        <v>5</v>
      </c>
      <c r="D481" s="10"/>
      <c r="E481" s="10" t="s">
        <v>15</v>
      </c>
      <c r="F481" s="10" t="s">
        <v>16</v>
      </c>
      <c r="G481" s="10" t="s">
        <v>17</v>
      </c>
      <c r="H481" s="10">
        <f>MONTH([1]Dataset!$A481)</f>
        <v>10</v>
      </c>
      <c r="I481" s="11">
        <f>WEEKDAY([1]Dataset!$A481)</f>
        <v>6</v>
      </c>
      <c r="J481" s="12">
        <f>[1]Dataset!$D481-[1]Dataset!$C481</f>
        <v>-5</v>
      </c>
    </row>
    <row r="482" spans="1:10" x14ac:dyDescent="0.25">
      <c r="A482" s="5">
        <v>44498</v>
      </c>
      <c r="B482" s="6" t="s">
        <v>24</v>
      </c>
      <c r="C482" s="6">
        <v>189</v>
      </c>
      <c r="D482" s="6"/>
      <c r="E482" s="6" t="s">
        <v>25</v>
      </c>
      <c r="F482" s="6" t="s">
        <v>20</v>
      </c>
      <c r="G482" s="6" t="s">
        <v>17</v>
      </c>
      <c r="H482" s="6">
        <f>MONTH([1]Dataset!$A482)</f>
        <v>10</v>
      </c>
      <c r="I482" s="7">
        <f>WEEKDAY([1]Dataset!$A482)</f>
        <v>6</v>
      </c>
      <c r="J482" s="8">
        <f>[1]Dataset!$D482-[1]Dataset!$C482</f>
        <v>-189</v>
      </c>
    </row>
    <row r="483" spans="1:10" x14ac:dyDescent="0.25">
      <c r="A483" s="9">
        <v>44499</v>
      </c>
      <c r="B483" s="10" t="s">
        <v>52</v>
      </c>
      <c r="C483" s="10">
        <v>133.80000000000001</v>
      </c>
      <c r="D483" s="10"/>
      <c r="E483" s="10" t="s">
        <v>33</v>
      </c>
      <c r="F483" s="10" t="s">
        <v>31</v>
      </c>
      <c r="G483" s="10" t="s">
        <v>17</v>
      </c>
      <c r="H483" s="10">
        <f>MONTH([1]Dataset!$A483)</f>
        <v>10</v>
      </c>
      <c r="I483" s="11">
        <f>WEEKDAY([1]Dataset!$A483)</f>
        <v>7</v>
      </c>
      <c r="J483" s="12">
        <f>[1]Dataset!$D483-[1]Dataset!$C483</f>
        <v>-133.80000000000001</v>
      </c>
    </row>
    <row r="484" spans="1:10" x14ac:dyDescent="0.25">
      <c r="A484" s="5">
        <v>44499</v>
      </c>
      <c r="B484" s="6" t="s">
        <v>53</v>
      </c>
      <c r="C484" s="6">
        <v>184.39999999999998</v>
      </c>
      <c r="D484" s="6"/>
      <c r="E484" s="6" t="s">
        <v>30</v>
      </c>
      <c r="F484" s="6" t="s">
        <v>31</v>
      </c>
      <c r="G484" s="6" t="s">
        <v>17</v>
      </c>
      <c r="H484" s="6">
        <f>MONTH([1]Dataset!$A484)</f>
        <v>10</v>
      </c>
      <c r="I484" s="7">
        <f>WEEKDAY([1]Dataset!$A484)</f>
        <v>7</v>
      </c>
      <c r="J484" s="8">
        <f>[1]Dataset!$D484-[1]Dataset!$C484</f>
        <v>-184.39999999999998</v>
      </c>
    </row>
    <row r="485" spans="1:10" x14ac:dyDescent="0.25">
      <c r="A485" s="9">
        <v>44500</v>
      </c>
      <c r="B485" s="10" t="s">
        <v>32</v>
      </c>
      <c r="C485" s="10">
        <v>154.49999999999997</v>
      </c>
      <c r="D485" s="10"/>
      <c r="E485" s="10" t="s">
        <v>33</v>
      </c>
      <c r="F485" s="10" t="s">
        <v>31</v>
      </c>
      <c r="G485" s="10" t="s">
        <v>17</v>
      </c>
      <c r="H485" s="10">
        <f>MONTH([1]Dataset!$A485)</f>
        <v>10</v>
      </c>
      <c r="I485" s="11">
        <f>WEEKDAY([1]Dataset!$A485)</f>
        <v>1</v>
      </c>
      <c r="J485" s="12">
        <f>[1]Dataset!$D485-[1]Dataset!$C485</f>
        <v>-154.49999999999997</v>
      </c>
    </row>
    <row r="486" spans="1:10" x14ac:dyDescent="0.25">
      <c r="A486" s="5">
        <v>44500</v>
      </c>
      <c r="B486" s="6" t="s">
        <v>36</v>
      </c>
      <c r="C486" s="6">
        <v>32.1</v>
      </c>
      <c r="D486" s="6"/>
      <c r="E486" s="6" t="s">
        <v>37</v>
      </c>
      <c r="F486" s="6" t="s">
        <v>23</v>
      </c>
      <c r="G486" s="6" t="s">
        <v>17</v>
      </c>
      <c r="H486" s="6">
        <f>MONTH([1]Dataset!$A486)</f>
        <v>10</v>
      </c>
      <c r="I486" s="7">
        <f>WEEKDAY([1]Dataset!$A486)</f>
        <v>1</v>
      </c>
      <c r="J486" s="8">
        <f>[1]Dataset!$D486-[1]Dataset!$C486</f>
        <v>-32.1</v>
      </c>
    </row>
    <row r="487" spans="1:10" x14ac:dyDescent="0.25">
      <c r="A487" s="13">
        <v>44500</v>
      </c>
      <c r="B487" s="14" t="s">
        <v>59</v>
      </c>
      <c r="C487" s="14">
        <v>15</v>
      </c>
      <c r="D487" s="14"/>
      <c r="E487" s="14" t="s">
        <v>35</v>
      </c>
      <c r="F487" s="14" t="s">
        <v>16</v>
      </c>
      <c r="G487" s="14" t="s">
        <v>17</v>
      </c>
      <c r="H487" s="14">
        <f>MONTH([1]Dataset!$A487)</f>
        <v>10</v>
      </c>
      <c r="I487" s="15">
        <f>WEEKDAY([1]Dataset!$A487)</f>
        <v>1</v>
      </c>
      <c r="J487" s="16">
        <f>[1]Dataset!$D487-[1]Dataset!$C487</f>
        <v>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dharshini</dc:creator>
  <cp:lastModifiedBy>Priya dharshini</cp:lastModifiedBy>
  <dcterms:created xsi:type="dcterms:W3CDTF">2026-01-05T14:19:19Z</dcterms:created>
  <dcterms:modified xsi:type="dcterms:W3CDTF">2026-01-05T14:20:27Z</dcterms:modified>
</cp:coreProperties>
</file>