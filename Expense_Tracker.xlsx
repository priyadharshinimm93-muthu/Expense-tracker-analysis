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esktop\Xl,Bi Project\"/>
    </mc:Choice>
  </mc:AlternateContent>
  <xr:revisionPtr revIDLastSave="0" documentId="13_ncr:1_{79AC7BAA-E75C-445E-82AD-25FF4C6CE01C}" xr6:coauthVersionLast="47" xr6:coauthVersionMax="47" xr10:uidLastSave="{00000000-0000-0000-0000-000000000000}"/>
  <bookViews>
    <workbookView xWindow="-120" yWindow="-120" windowWidth="20730" windowHeight="11160" activeTab="5" xr2:uid="{65413B0E-DDC6-419D-869E-C7057D34DCD4}"/>
  </bookViews>
  <sheets>
    <sheet name="Dataset" sheetId="1" r:id="rId1"/>
    <sheet name="Clean data" sheetId="6" r:id="rId2"/>
    <sheet name="Dim_table" sheetId="7" r:id="rId3"/>
    <sheet name="Fact_table" sheetId="8" r:id="rId4"/>
    <sheet name="Pivot" sheetId="10" r:id="rId5"/>
    <sheet name="Dashboard" sheetId="11" r:id="rId6"/>
  </sheets>
  <definedNames>
    <definedName name="_xlnm._FilterDatabase" localSheetId="1" hidden="1">'Clean data'!$A$1:$L$487</definedName>
    <definedName name="_xlnm._FilterDatabase" localSheetId="2" hidden="1">Dim_table!$A$1:$D$487</definedName>
    <definedName name="_xlnm._FilterDatabase" localSheetId="3" hidden="1">Fact_table!$A$1:$C$487</definedName>
    <definedName name="Expense_Tracker">'Clean data'!$A$1:$L$487</definedName>
    <definedName name="Slicer_Main_Category">#N/A</definedName>
    <definedName name="Slicer_Months__Date">#N/A</definedName>
    <definedName name="Slicer_Payment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8" l="1"/>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2" i="8"/>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2" i="7"/>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alcChain>
</file>

<file path=xl/sharedStrings.xml><?xml version="1.0" encoding="utf-8"?>
<sst xmlns="http://schemas.openxmlformats.org/spreadsheetml/2006/main" count="5913" uniqueCount="102">
  <si>
    <t>Date</t>
  </si>
  <si>
    <t>Description</t>
  </si>
  <si>
    <t>Debit</t>
  </si>
  <si>
    <t>Credit</t>
  </si>
  <si>
    <t>Sub-category</t>
  </si>
  <si>
    <t>Category</t>
  </si>
  <si>
    <t>Category Type</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</si>
  <si>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</si>
  <si>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</si>
  <si>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</si>
  <si>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</si>
  <si>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</si>
  <si>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</si>
  <si>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</si>
  <si>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</si>
  <si>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</si>
  <si>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</si>
  <si>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</si>
  <si>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</si>
  <si>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</si>
  <si>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</si>
  <si>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</si>
  <si>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</si>
  <si>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</si>
  <si>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</si>
  <si>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</si>
  <si>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</si>
  <si>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</si>
  <si>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</si>
  <si>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</si>
  <si>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</si>
  <si>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</si>
  <si>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</si>
  <si>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</si>
  <si>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</si>
  <si>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</si>
  <si>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</si>
  <si>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</si>
  <si>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</si>
  <si>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</si>
  <si>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</si>
  <si>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</si>
  <si>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</si>
  <si>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</si>
  <si>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</si>
  <si>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</si>
  <si>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</si>
  <si>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</si>
  <si>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</si>
  <si>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</si>
  <si>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</si>
  <si>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</si>
  <si>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</si>
  <si>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</si>
  <si>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</si>
  <si>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</si>
  <si>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</si>
  <si>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</si>
  <si>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</si>
  <si>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</si>
  <si>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</si>
  <si>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Month Number</t>
  </si>
  <si>
    <t>Weekday</t>
  </si>
  <si>
    <t>Amount</t>
  </si>
  <si>
    <t>Food</t>
  </si>
  <si>
    <t>Housing</t>
  </si>
  <si>
    <t>Loan</t>
  </si>
  <si>
    <t>Personal</t>
  </si>
  <si>
    <t>Transportation</t>
  </si>
  <si>
    <t>Utilities</t>
  </si>
  <si>
    <t>Bank Credit</t>
  </si>
  <si>
    <t>Net Banking</t>
  </si>
  <si>
    <t>Bank Transfer</t>
  </si>
  <si>
    <t>Cash</t>
  </si>
  <si>
    <t>UPI</t>
  </si>
  <si>
    <t>Row Labels</t>
  </si>
  <si>
    <t>Grand Total</t>
  </si>
  <si>
    <t>Jan</t>
  </si>
  <si>
    <t>Feb</t>
  </si>
  <si>
    <t>Mar</t>
  </si>
  <si>
    <t>Apr</t>
  </si>
  <si>
    <t>May</t>
  </si>
  <si>
    <t>Jun</t>
  </si>
  <si>
    <t>Jul</t>
  </si>
  <si>
    <t>Aug</t>
  </si>
  <si>
    <t>Sep</t>
  </si>
  <si>
    <t>Oct</t>
  </si>
  <si>
    <t>Year</t>
  </si>
  <si>
    <t>Main-Category</t>
  </si>
  <si>
    <t>Net_balance</t>
  </si>
  <si>
    <t>Payment_mode</t>
  </si>
  <si>
    <t xml:space="preserve">Income </t>
  </si>
  <si>
    <t>Budget_status</t>
  </si>
  <si>
    <t>Saving</t>
  </si>
  <si>
    <t>Spenting</t>
  </si>
  <si>
    <t>Category_ID</t>
  </si>
  <si>
    <t>Category_Type</t>
  </si>
  <si>
    <t>Sum of Expense</t>
  </si>
  <si>
    <t xml:space="preserve">Sum of Income </t>
  </si>
  <si>
    <t>Count of Payment_mode</t>
  </si>
  <si>
    <t>Dashboard</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</si>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</sst>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ddd"/>
    <numFmt numFmtId="166" formatCode="[$-409]d/mmm;@"/>
    <numFmt numFmtId="167" formatCode="yyyy/mm/dd;@"/>
  </numFmts>
  <fonts count="4" x14ac:knownFonts="1">
    <font>
      <sz val="11"/>
      <color theme="1"/>
      <name val="Calibri"/>
      <family val="2"/>
      <scheme val="minor"/>
    </font>
    <font>
      <b/>
      <sz val="11"/>
      <color theme="0"/>
      <name val="Calibri"/>
      <family val="2"/>
      <scheme val="minor"/>
    </font>
    <font>
      <b/>
      <sz val="20"/>
      <color theme="1"/>
      <name val="Calibri"/>
      <family val="2"/>
      <scheme val="minor"/>
    </font>
    <font>
      <sz val="1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5" tint="0.79998168889431442"/>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1">
    <xf numFmtId="0" fontId="0" fillId="0" borderId="0" xfId="0"/>
    <xf numFmtId="164" fontId="0" fillId="0" borderId="0" xfId="0" applyNumberFormat="1"/>
    <xf numFmtId="165" fontId="0" fillId="0" borderId="0" xfId="0" applyNumberFormat="1"/>
    <xf numFmtId="0" fontId="0" fillId="0" borderId="2" xfId="0" applyBorder="1"/>
    <xf numFmtId="0" fontId="0" fillId="0" borderId="3" xfId="0" applyBorder="1"/>
    <xf numFmtId="164" fontId="1" fillId="2" borderId="4" xfId="0" applyNumberFormat="1" applyFont="1" applyFill="1" applyBorder="1"/>
    <xf numFmtId="0" fontId="1" fillId="2" borderId="5" xfId="0" applyFont="1" applyFill="1" applyBorder="1"/>
    <xf numFmtId="165" fontId="1" fillId="2" borderId="5" xfId="0" applyNumberFormat="1" applyFont="1" applyFill="1" applyBorder="1"/>
    <xf numFmtId="0" fontId="1" fillId="2" borderId="6" xfId="0" applyFont="1" applyFill="1" applyBorder="1"/>
    <xf numFmtId="164" fontId="0" fillId="3" borderId="4" xfId="0" applyNumberFormat="1" applyFill="1" applyBorder="1"/>
    <xf numFmtId="0" fontId="0" fillId="3" borderId="5" xfId="0" applyFill="1" applyBorder="1"/>
    <xf numFmtId="165" fontId="0" fillId="3" borderId="5" xfId="0" applyNumberFormat="1" applyFill="1" applyBorder="1"/>
    <xf numFmtId="0" fontId="0" fillId="3" borderId="6" xfId="0" applyFill="1" applyBorder="1"/>
    <xf numFmtId="164" fontId="0" fillId="0" borderId="4" xfId="0" applyNumberFormat="1" applyBorder="1"/>
    <xf numFmtId="0" fontId="0" fillId="0" borderId="5" xfId="0" applyBorder="1"/>
    <xf numFmtId="165" fontId="0" fillId="0" borderId="5" xfId="0" applyNumberFormat="1" applyBorder="1"/>
    <xf numFmtId="0" fontId="0" fillId="0" borderId="6" xfId="0" applyBorder="1"/>
    <xf numFmtId="164" fontId="0" fillId="0" borderId="1" xfId="0" applyNumberFormat="1" applyBorder="1"/>
    <xf numFmtId="165" fontId="0" fillId="0" borderId="2" xfId="0" applyNumberFormat="1" applyBorder="1"/>
    <xf numFmtId="0" fontId="0" fillId="0" borderId="0" xfId="0" pivotButton="1"/>
    <xf numFmtId="0" fontId="0" fillId="0" borderId="0" xfId="0" applyAlignment="1">
      <alignment horizontal="left"/>
    </xf>
    <xf numFmtId="166" fontId="0" fillId="0" borderId="0" xfId="0" applyNumberFormat="1"/>
    <xf numFmtId="0" fontId="0" fillId="4" borderId="0" xfId="0" applyFill="1"/>
    <xf numFmtId="167" fontId="0" fillId="0" borderId="0" xfId="0" applyNumberFormat="1"/>
    <xf numFmtId="0" fontId="0" fillId="5" borderId="0" xfId="0" applyFill="1"/>
    <xf numFmtId="10" fontId="0" fillId="0" borderId="0" xfId="0" applyNumberFormat="1"/>
    <xf numFmtId="1" fontId="0" fillId="0" borderId="0" xfId="0" applyNumberFormat="1"/>
    <xf numFmtId="166" fontId="3" fillId="4" borderId="0" xfId="0" applyNumberFormat="1" applyFont="1" applyFill="1"/>
    <xf numFmtId="0" fontId="3" fillId="4" borderId="0" xfId="0" applyFont="1" applyFill="1"/>
    <xf numFmtId="0" fontId="2"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2">
    <dxf>
      <numFmt numFmtId="166" formatCode="[$-409]d/mmm;@"/>
    </dxf>
    <dxf>
      <font>
        <strike val="0"/>
        <outline val="0"/>
        <shadow val="0"/>
        <u val="none"/>
        <vertAlign val="baseline"/>
        <sz val="11"/>
        <color auto="1"/>
        <name val="Calibri"/>
        <family val="2"/>
        <scheme val="minor"/>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Total Income vs Total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IN" sz="1800" b="1">
                <a:effectLst/>
              </a:rPr>
              <a:t>Expense</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3166666666666666"/>
          <c:y val="5.0211114914983481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349157442276242"/>
          <c:w val="0.93888888888888888"/>
          <c:h val="0.70928930985076144"/>
        </c:manualLayout>
      </c:layout>
      <c:barChart>
        <c:barDir val="col"/>
        <c:grouping val="clustered"/>
        <c:varyColors val="0"/>
        <c:ser>
          <c:idx val="0"/>
          <c:order val="0"/>
          <c:tx>
            <c:strRef>
              <c:f>Pivot!$B$2</c:f>
              <c:strCache>
                <c:ptCount val="1"/>
                <c:pt idx="0">
                  <c:v>Sum of Income </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Pivot!$A$3:$A$4</c:f>
              <c:strCache>
                <c:ptCount val="1"/>
                <c:pt idx="0">
                  <c:v>2021</c:v>
                </c:pt>
              </c:strCache>
            </c:strRef>
          </c:cat>
          <c:val>
            <c:numRef>
              <c:f>Pivot!$B$3:$B$4</c:f>
              <c:numCache>
                <c:formatCode>General</c:formatCode>
                <c:ptCount val="1"/>
                <c:pt idx="0">
                  <c:v>65440</c:v>
                </c:pt>
              </c:numCache>
            </c:numRef>
          </c:val>
          <c:extLst>
            <c:ext xmlns:c16="http://schemas.microsoft.com/office/drawing/2014/chart" uri="{C3380CC4-5D6E-409C-BE32-E72D297353CC}">
              <c16:uniqueId val="{00000000-E95D-41F6-BE24-FCDCFB1EBE6F}"/>
            </c:ext>
          </c:extLst>
        </c:ser>
        <c:ser>
          <c:idx val="1"/>
          <c:order val="1"/>
          <c:tx>
            <c:strRef>
              <c:f>Pivot!$C$2</c:f>
              <c:strCache>
                <c:ptCount val="1"/>
                <c:pt idx="0">
                  <c:v>Sum of Expense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Pivot!$A$3:$A$4</c:f>
              <c:strCache>
                <c:ptCount val="1"/>
                <c:pt idx="0">
                  <c:v>2021</c:v>
                </c:pt>
              </c:strCache>
            </c:strRef>
          </c:cat>
          <c:val>
            <c:numRef>
              <c:f>Pivot!$C$3:$C$4</c:f>
              <c:numCache>
                <c:formatCode>General</c:formatCode>
                <c:ptCount val="1"/>
                <c:pt idx="0">
                  <c:v>30190.999999999993</c:v>
                </c:pt>
              </c:numCache>
            </c:numRef>
          </c:val>
          <c:extLst>
            <c:ext xmlns:c16="http://schemas.microsoft.com/office/drawing/2014/chart" uri="{C3380CC4-5D6E-409C-BE32-E72D297353CC}">
              <c16:uniqueId val="{00000001-E95D-41F6-BE24-FCDCFB1EBE6F}"/>
            </c:ext>
          </c:extLst>
        </c:ser>
        <c:dLbls>
          <c:dLblPos val="outEnd"/>
          <c:showLegendKey val="0"/>
          <c:showVal val="1"/>
          <c:showCatName val="0"/>
          <c:showSerName val="0"/>
          <c:showPercent val="0"/>
          <c:showBubbleSize val="0"/>
        </c:dLbls>
        <c:gapWidth val="219"/>
        <c:overlap val="-27"/>
        <c:axId val="2113778799"/>
        <c:axId val="2113765839"/>
      </c:barChart>
      <c:catAx>
        <c:axId val="211377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65839"/>
        <c:crosses val="autoZero"/>
        <c:auto val="1"/>
        <c:lblAlgn val="ctr"/>
        <c:lblOffset val="100"/>
        <c:noMultiLvlLbl val="0"/>
      </c:catAx>
      <c:valAx>
        <c:axId val="2113765839"/>
        <c:scaling>
          <c:orientation val="minMax"/>
        </c:scaling>
        <c:delete val="1"/>
        <c:axPos val="l"/>
        <c:numFmt formatCode="General" sourceLinked="1"/>
        <c:majorTickMark val="none"/>
        <c:minorTickMark val="none"/>
        <c:tickLblPos val="nextTo"/>
        <c:crossAx val="21137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Monthly Expense Trend</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Pivot!$B$18:$B$28</c:f>
              <c:numCache>
                <c:formatCode>General</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300C-413D-83F6-926A404A686D}"/>
            </c:ext>
          </c:extLst>
        </c:ser>
        <c:dLbls>
          <c:dLblPos val="outEnd"/>
          <c:showLegendKey val="0"/>
          <c:showVal val="1"/>
          <c:showCatName val="0"/>
          <c:showSerName val="0"/>
          <c:showPercent val="0"/>
          <c:showBubbleSize val="0"/>
        </c:dLbls>
        <c:gapWidth val="219"/>
        <c:overlap val="-27"/>
        <c:axId val="2113785519"/>
        <c:axId val="2113777359"/>
      </c:barChart>
      <c:catAx>
        <c:axId val="21137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77359"/>
        <c:crosses val="autoZero"/>
        <c:auto val="1"/>
        <c:lblAlgn val="ctr"/>
        <c:lblOffset val="100"/>
        <c:noMultiLvlLbl val="0"/>
      </c:catAx>
      <c:valAx>
        <c:axId val="2113777359"/>
        <c:scaling>
          <c:orientation val="minMax"/>
        </c:scaling>
        <c:delete val="1"/>
        <c:axPos val="l"/>
        <c:numFmt formatCode="General" sourceLinked="1"/>
        <c:majorTickMark val="none"/>
        <c:minorTickMark val="none"/>
        <c:tickLblPos val="nextTo"/>
        <c:crossAx val="211378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Category-wise Expense</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45951377952755906"/>
          <c:y val="3.4995613176166522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7047244094488"/>
          <c:y val="0.16551970606512859"/>
          <c:w val="0.77269619422572178"/>
          <c:h val="0.73033547006885291"/>
        </c:manualLayout>
      </c:layout>
      <c:barChart>
        <c:barDir val="bar"/>
        <c:grouping val="clustered"/>
        <c:varyColors val="0"/>
        <c:ser>
          <c:idx val="0"/>
          <c:order val="0"/>
          <c:tx>
            <c:strRef>
              <c:f>Pivot!$B$34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Pivot!$A$35:$A$45</c:f>
              <c:strCache>
                <c:ptCount val="10"/>
                <c:pt idx="0">
                  <c:v>Entertainment</c:v>
                </c:pt>
                <c:pt idx="1">
                  <c:v>Food</c:v>
                </c:pt>
                <c:pt idx="2">
                  <c:v>Housing</c:v>
                </c:pt>
                <c:pt idx="3">
                  <c:v>Loan</c:v>
                </c:pt>
                <c:pt idx="4">
                  <c:v>Medical</c:v>
                </c:pt>
                <c:pt idx="5">
                  <c:v>Passive</c:v>
                </c:pt>
                <c:pt idx="6">
                  <c:v>Personal</c:v>
                </c:pt>
                <c:pt idx="7">
                  <c:v>Salary</c:v>
                </c:pt>
                <c:pt idx="8">
                  <c:v>Transportation</c:v>
                </c:pt>
                <c:pt idx="9">
                  <c:v>Utilities</c:v>
                </c:pt>
              </c:strCache>
            </c:strRef>
          </c:cat>
          <c:val>
            <c:numRef>
              <c:f>Pivot!$B$35:$B$45</c:f>
              <c:numCache>
                <c:formatCode>0.00%</c:formatCode>
                <c:ptCount val="10"/>
                <c:pt idx="0">
                  <c:v>6.0037759597230955E-2</c:v>
                </c:pt>
                <c:pt idx="1">
                  <c:v>0.31379218972541489</c:v>
                </c:pt>
                <c:pt idx="2">
                  <c:v>0.31189427312775325</c:v>
                </c:pt>
                <c:pt idx="3">
                  <c:v>4.9683680567056403E-2</c:v>
                </c:pt>
                <c:pt idx="4">
                  <c:v>7.4525520850584606E-3</c:v>
                </c:pt>
                <c:pt idx="5">
                  <c:v>0</c:v>
                </c:pt>
                <c:pt idx="6">
                  <c:v>0.17715875592063857</c:v>
                </c:pt>
                <c:pt idx="7">
                  <c:v>0</c:v>
                </c:pt>
                <c:pt idx="8">
                  <c:v>6.6731807492299025E-2</c:v>
                </c:pt>
                <c:pt idx="9">
                  <c:v>1.3248981484548374E-2</c:v>
                </c:pt>
              </c:numCache>
            </c:numRef>
          </c:val>
          <c:extLst>
            <c:ext xmlns:c16="http://schemas.microsoft.com/office/drawing/2014/chart" uri="{C3380CC4-5D6E-409C-BE32-E72D297353CC}">
              <c16:uniqueId val="{00000000-F76E-4037-B934-6B5069452EF4}"/>
            </c:ext>
          </c:extLst>
        </c:ser>
        <c:dLbls>
          <c:dLblPos val="outEnd"/>
          <c:showLegendKey val="0"/>
          <c:showVal val="1"/>
          <c:showCatName val="0"/>
          <c:showSerName val="0"/>
          <c:showPercent val="0"/>
          <c:showBubbleSize val="0"/>
        </c:dLbls>
        <c:gapWidth val="182"/>
        <c:axId val="239750655"/>
        <c:axId val="239742495"/>
      </c:barChart>
      <c:catAx>
        <c:axId val="2397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42495"/>
        <c:crosses val="autoZero"/>
        <c:auto val="1"/>
        <c:lblAlgn val="ctr"/>
        <c:lblOffset val="100"/>
        <c:noMultiLvlLbl val="0"/>
      </c:catAx>
      <c:valAx>
        <c:axId val="239742495"/>
        <c:scaling>
          <c:orientation val="minMax"/>
        </c:scaling>
        <c:delete val="1"/>
        <c:axPos val="b"/>
        <c:numFmt formatCode="0.00%" sourceLinked="1"/>
        <c:majorTickMark val="none"/>
        <c:minorTickMark val="none"/>
        <c:tickLblPos val="nextTo"/>
        <c:crossAx val="2397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Analysis</a:t>
            </a:r>
            <a:endParaRPr lang="en-US"/>
          </a:p>
        </c:rich>
      </c:tx>
      <c:layout>
        <c:manualLayout>
          <c:xMode val="edge"/>
          <c:yMode val="edge"/>
          <c:x val="0.30343744531933509"/>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1662904636920385"/>
          <c:y val="0.11050707203266258"/>
          <c:w val="0.50314020122484693"/>
          <c:h val="0.83856700204141144"/>
        </c:manualLayout>
      </c:layout>
      <c:pieChart>
        <c:varyColors val="1"/>
        <c:ser>
          <c:idx val="0"/>
          <c:order val="0"/>
          <c:tx>
            <c:strRef>
              <c:f>Pivot!$B$52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8F-490E-A5E8-888FA6B2AD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8F-490E-A5E8-888FA6B2AD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8F-490E-A5E8-888FA6B2AD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8F-490E-A5E8-888FA6B2AD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8F-490E-A5E8-888FA6B2AD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Pivot!$A$53:$A$58</c:f>
              <c:strCache>
                <c:ptCount val="5"/>
                <c:pt idx="0">
                  <c:v>Bank Credit</c:v>
                </c:pt>
                <c:pt idx="1">
                  <c:v>Bank Transfer</c:v>
                </c:pt>
                <c:pt idx="2">
                  <c:v>Cash</c:v>
                </c:pt>
                <c:pt idx="3">
                  <c:v>Net Banking</c:v>
                </c:pt>
                <c:pt idx="4">
                  <c:v>UPI</c:v>
                </c:pt>
              </c:strCache>
            </c:strRef>
          </c:cat>
          <c:val>
            <c:numRef>
              <c:f>Pivot!$B$53:$B$58</c:f>
              <c:numCache>
                <c:formatCode>General</c:formatCode>
                <c:ptCount val="5"/>
                <c:pt idx="0">
                  <c:v>21</c:v>
                </c:pt>
                <c:pt idx="1">
                  <c:v>22</c:v>
                </c:pt>
                <c:pt idx="2">
                  <c:v>10</c:v>
                </c:pt>
                <c:pt idx="3">
                  <c:v>366</c:v>
                </c:pt>
                <c:pt idx="4">
                  <c:v>67</c:v>
                </c:pt>
              </c:numCache>
            </c:numRef>
          </c:val>
          <c:extLst>
            <c:ext xmlns:c16="http://schemas.microsoft.com/office/drawing/2014/chart" uri="{C3380CC4-5D6E-409C-BE32-E72D297353CC}">
              <c16:uniqueId val="{00000000-E4DA-404E-BB3C-3D0465AD90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Source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Pivot!$B$70</c:f>
              <c:strCache>
                <c:ptCount val="1"/>
                <c:pt idx="0">
                  <c:v>Total</c:v>
                </c:pt>
              </c:strCache>
            </c:strRef>
          </c:tx>
          <c:spPr>
            <a:ln w="28575" cap="rnd">
              <a:solidFill>
                <a:schemeClr val="accent1"/>
              </a:solidFill>
              <a:round/>
            </a:ln>
            <a:effectLst/>
          </c:spPr>
          <c:marker>
            <c:symbol val="none"/>
          </c:marker>
          <c:cat>
            <c:strRef>
              <c:f>Pivot!$A$71:$A$81</c:f>
              <c:strCache>
                <c:ptCount val="10"/>
                <c:pt idx="0">
                  <c:v>Entertainment</c:v>
                </c:pt>
                <c:pt idx="1">
                  <c:v>Food</c:v>
                </c:pt>
                <c:pt idx="2">
                  <c:v>Housing</c:v>
                </c:pt>
                <c:pt idx="3">
                  <c:v>Loan</c:v>
                </c:pt>
                <c:pt idx="4">
                  <c:v>Medical</c:v>
                </c:pt>
                <c:pt idx="5">
                  <c:v>Passive</c:v>
                </c:pt>
                <c:pt idx="6">
                  <c:v>Personal</c:v>
                </c:pt>
                <c:pt idx="7">
                  <c:v>Salary</c:v>
                </c:pt>
                <c:pt idx="8">
                  <c:v>Transportation</c:v>
                </c:pt>
                <c:pt idx="9">
                  <c:v>Utilities</c:v>
                </c:pt>
              </c:strCache>
            </c:strRef>
          </c:cat>
          <c:val>
            <c:numRef>
              <c:f>Pivot!$B$71:$B$81</c:f>
              <c:numCache>
                <c:formatCode>0</c:formatCode>
                <c:ptCount val="10"/>
                <c:pt idx="0">
                  <c:v>-72.503999999999991</c:v>
                </c:pt>
                <c:pt idx="1">
                  <c:v>-30.26741214057509</c:v>
                </c:pt>
                <c:pt idx="2">
                  <c:v>-784.69999999999993</c:v>
                </c:pt>
                <c:pt idx="3">
                  <c:v>-150</c:v>
                </c:pt>
                <c:pt idx="4">
                  <c:v>-75</c:v>
                </c:pt>
                <c:pt idx="5">
                  <c:v>1403.6363636363637</c:v>
                </c:pt>
                <c:pt idx="6">
                  <c:v>-100.91698113207546</c:v>
                </c:pt>
                <c:pt idx="7">
                  <c:v>5000</c:v>
                </c:pt>
                <c:pt idx="8">
                  <c:v>-51.658974358974362</c:v>
                </c:pt>
                <c:pt idx="9">
                  <c:v>-40</c:v>
                </c:pt>
              </c:numCache>
            </c:numRef>
          </c:val>
          <c:smooth val="0"/>
          <c:extLst>
            <c:ext xmlns:c16="http://schemas.microsoft.com/office/drawing/2014/chart" uri="{C3380CC4-5D6E-409C-BE32-E72D297353CC}">
              <c16:uniqueId val="{00000000-27A4-44FE-8A6E-E42B3D209CBA}"/>
            </c:ext>
          </c:extLst>
        </c:ser>
        <c:dLbls>
          <c:showLegendKey val="0"/>
          <c:showVal val="0"/>
          <c:showCatName val="0"/>
          <c:showSerName val="0"/>
          <c:showPercent val="0"/>
          <c:showBubbleSize val="0"/>
        </c:dLbls>
        <c:smooth val="0"/>
        <c:axId val="1099864111"/>
        <c:axId val="1099865071"/>
      </c:lineChart>
      <c:catAx>
        <c:axId val="10998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65071"/>
        <c:crosses val="autoZero"/>
        <c:auto val="1"/>
        <c:lblAlgn val="ctr"/>
        <c:lblOffset val="100"/>
        <c:noMultiLvlLbl val="0"/>
      </c:catAx>
      <c:valAx>
        <c:axId val="1099865071"/>
        <c:scaling>
          <c:orientation val="minMax"/>
        </c:scaling>
        <c:delete val="1"/>
        <c:axPos val="l"/>
        <c:numFmt formatCode="0" sourceLinked="1"/>
        <c:majorTickMark val="none"/>
        <c:minorTickMark val="none"/>
        <c:tickLblPos val="nextTo"/>
        <c:crossAx val="109986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Monthly Expense Trend</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Pivot!$B$18:$B$28</c:f>
              <c:numCache>
                <c:formatCode>General</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5EBB-4796-B448-59D0DDA1BDD8}"/>
            </c:ext>
          </c:extLst>
        </c:ser>
        <c:dLbls>
          <c:dLblPos val="outEnd"/>
          <c:showLegendKey val="0"/>
          <c:showVal val="1"/>
          <c:showCatName val="0"/>
          <c:showSerName val="0"/>
          <c:showPercent val="0"/>
          <c:showBubbleSize val="0"/>
        </c:dLbls>
        <c:gapWidth val="219"/>
        <c:overlap val="-27"/>
        <c:axId val="2113785519"/>
        <c:axId val="2113777359"/>
      </c:barChart>
      <c:catAx>
        <c:axId val="21137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77359"/>
        <c:crosses val="autoZero"/>
        <c:auto val="1"/>
        <c:lblAlgn val="ctr"/>
        <c:lblOffset val="100"/>
        <c:noMultiLvlLbl val="0"/>
      </c:catAx>
      <c:valAx>
        <c:axId val="2113777359"/>
        <c:scaling>
          <c:orientation val="minMax"/>
        </c:scaling>
        <c:delete val="1"/>
        <c:axPos val="l"/>
        <c:numFmt formatCode="General" sourceLinked="1"/>
        <c:majorTickMark val="none"/>
        <c:minorTickMark val="none"/>
        <c:tickLblPos val="nextTo"/>
        <c:crossAx val="211378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Category-wise Expense</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45951377952755906"/>
          <c:y val="3.4995613176166522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7047244094488"/>
          <c:y val="0.16551970606512859"/>
          <c:w val="0.77269619422572178"/>
          <c:h val="0.73033547006885291"/>
        </c:manualLayout>
      </c:layout>
      <c:barChart>
        <c:barDir val="bar"/>
        <c:grouping val="clustered"/>
        <c:varyColors val="0"/>
        <c:ser>
          <c:idx val="0"/>
          <c:order val="0"/>
          <c:tx>
            <c:strRef>
              <c:f>Pivot!$B$34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Pivot!$A$35:$A$45</c:f>
              <c:strCache>
                <c:ptCount val="10"/>
                <c:pt idx="0">
                  <c:v>Entertainment</c:v>
                </c:pt>
                <c:pt idx="1">
                  <c:v>Food</c:v>
                </c:pt>
                <c:pt idx="2">
                  <c:v>Housing</c:v>
                </c:pt>
                <c:pt idx="3">
                  <c:v>Loan</c:v>
                </c:pt>
                <c:pt idx="4">
                  <c:v>Medical</c:v>
                </c:pt>
                <c:pt idx="5">
                  <c:v>Passive</c:v>
                </c:pt>
                <c:pt idx="6">
                  <c:v>Personal</c:v>
                </c:pt>
                <c:pt idx="7">
                  <c:v>Salary</c:v>
                </c:pt>
                <c:pt idx="8">
                  <c:v>Transportation</c:v>
                </c:pt>
                <c:pt idx="9">
                  <c:v>Utilities</c:v>
                </c:pt>
              </c:strCache>
            </c:strRef>
          </c:cat>
          <c:val>
            <c:numRef>
              <c:f>Pivot!$B$35:$B$45</c:f>
              <c:numCache>
                <c:formatCode>0.00%</c:formatCode>
                <c:ptCount val="10"/>
                <c:pt idx="0">
                  <c:v>6.0037759597230955E-2</c:v>
                </c:pt>
                <c:pt idx="1">
                  <c:v>0.31379218972541489</c:v>
                </c:pt>
                <c:pt idx="2">
                  <c:v>0.31189427312775325</c:v>
                </c:pt>
                <c:pt idx="3">
                  <c:v>4.9683680567056403E-2</c:v>
                </c:pt>
                <c:pt idx="4">
                  <c:v>7.4525520850584606E-3</c:v>
                </c:pt>
                <c:pt idx="5">
                  <c:v>0</c:v>
                </c:pt>
                <c:pt idx="6">
                  <c:v>0.17715875592063857</c:v>
                </c:pt>
                <c:pt idx="7">
                  <c:v>0</c:v>
                </c:pt>
                <c:pt idx="8">
                  <c:v>6.6731807492299025E-2</c:v>
                </c:pt>
                <c:pt idx="9">
                  <c:v>1.3248981484548374E-2</c:v>
                </c:pt>
              </c:numCache>
            </c:numRef>
          </c:val>
          <c:extLst>
            <c:ext xmlns:c16="http://schemas.microsoft.com/office/drawing/2014/chart" uri="{C3380CC4-5D6E-409C-BE32-E72D297353CC}">
              <c16:uniqueId val="{00000000-6CEC-4141-B3C4-C4C277578902}"/>
            </c:ext>
          </c:extLst>
        </c:ser>
        <c:dLbls>
          <c:dLblPos val="outEnd"/>
          <c:showLegendKey val="0"/>
          <c:showVal val="1"/>
          <c:showCatName val="0"/>
          <c:showSerName val="0"/>
          <c:showPercent val="0"/>
          <c:showBubbleSize val="0"/>
        </c:dLbls>
        <c:gapWidth val="182"/>
        <c:axId val="239750655"/>
        <c:axId val="239742495"/>
      </c:barChart>
      <c:catAx>
        <c:axId val="2397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42495"/>
        <c:crosses val="autoZero"/>
        <c:auto val="1"/>
        <c:lblAlgn val="ctr"/>
        <c:lblOffset val="100"/>
        <c:noMultiLvlLbl val="0"/>
      </c:catAx>
      <c:valAx>
        <c:axId val="239742495"/>
        <c:scaling>
          <c:orientation val="minMax"/>
        </c:scaling>
        <c:delete val="1"/>
        <c:axPos val="b"/>
        <c:numFmt formatCode="0.00%" sourceLinked="1"/>
        <c:majorTickMark val="none"/>
        <c:minorTickMark val="none"/>
        <c:tickLblPos val="nextTo"/>
        <c:crossAx val="2397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effectLst/>
              </a:rPr>
              <a:t>Total Income vs Total Expense</a:t>
            </a:r>
            <a:endParaRPr lang="en-IN"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3166666666666666"/>
          <c:y val="5.0211114914983481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00B050"/>
          </a:solidFill>
          <a:ln>
            <a:noFill/>
          </a:ln>
          <a:effectLst/>
        </c:spPr>
      </c:pivotFmt>
    </c:pivotFmts>
    <c:plotArea>
      <c:layout>
        <c:manualLayout>
          <c:layoutTarget val="inner"/>
          <c:xMode val="edge"/>
          <c:yMode val="edge"/>
          <c:x val="2.9421174424202881E-3"/>
          <c:y val="0.17349143121815655"/>
          <c:w val="0.96877499403483658"/>
          <c:h val="0.70928930985076144"/>
        </c:manualLayout>
      </c:layout>
      <c:barChart>
        <c:barDir val="col"/>
        <c:grouping val="clustered"/>
        <c:varyColors val="0"/>
        <c:ser>
          <c:idx val="0"/>
          <c:order val="0"/>
          <c:tx>
            <c:strRef>
              <c:f>Pivot!$B$2</c:f>
              <c:strCache>
                <c:ptCount val="1"/>
                <c:pt idx="0">
                  <c:v>Sum of Income </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D6AC-4F44-B9FB-212CD29F60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Pivot!$A$3:$A$4</c:f>
              <c:strCache>
                <c:ptCount val="1"/>
                <c:pt idx="0">
                  <c:v>2021</c:v>
                </c:pt>
              </c:strCache>
            </c:strRef>
          </c:cat>
          <c:val>
            <c:numRef>
              <c:f>Pivot!$B$3:$B$4</c:f>
              <c:numCache>
                <c:formatCode>General</c:formatCode>
                <c:ptCount val="1"/>
                <c:pt idx="0">
                  <c:v>65440</c:v>
                </c:pt>
              </c:numCache>
            </c:numRef>
          </c:val>
          <c:extLst>
            <c:ext xmlns:c16="http://schemas.microsoft.com/office/drawing/2014/chart" uri="{C3380CC4-5D6E-409C-BE32-E72D297353CC}">
              <c16:uniqueId val="{00000000-D71B-4779-A504-A685E8DD98A8}"/>
            </c:ext>
          </c:extLst>
        </c:ser>
        <c:ser>
          <c:idx val="1"/>
          <c:order val="1"/>
          <c:tx>
            <c:strRef>
              <c:f>Pivot!$C$2</c:f>
              <c:strCache>
                <c:ptCount val="1"/>
                <c:pt idx="0">
                  <c:v>Sum of Expense</c:v>
                </c:pt>
              </c:strCache>
            </c:strRef>
          </c:tx>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D6AC-4F44-B9FB-212CD29F60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Pivot!$A$3:$A$4</c:f>
              <c:strCache>
                <c:ptCount val="1"/>
                <c:pt idx="0">
                  <c:v>2021</c:v>
                </c:pt>
              </c:strCache>
            </c:strRef>
          </c:cat>
          <c:val>
            <c:numRef>
              <c:f>Pivot!$C$3:$C$4</c:f>
              <c:numCache>
                <c:formatCode>General</c:formatCode>
                <c:ptCount val="1"/>
                <c:pt idx="0">
                  <c:v>30190.999999999993</c:v>
                </c:pt>
              </c:numCache>
            </c:numRef>
          </c:val>
          <c:extLst>
            <c:ext xmlns:c16="http://schemas.microsoft.com/office/drawing/2014/chart" uri="{C3380CC4-5D6E-409C-BE32-E72D297353CC}">
              <c16:uniqueId val="{00000001-D71B-4779-A504-A685E8DD98A8}"/>
            </c:ext>
          </c:extLst>
        </c:ser>
        <c:dLbls>
          <c:dLblPos val="outEnd"/>
          <c:showLegendKey val="0"/>
          <c:showVal val="1"/>
          <c:showCatName val="0"/>
          <c:showSerName val="0"/>
          <c:showPercent val="0"/>
          <c:showBubbleSize val="0"/>
        </c:dLbls>
        <c:gapWidth val="219"/>
        <c:overlap val="-27"/>
        <c:axId val="2113778799"/>
        <c:axId val="2113765839"/>
      </c:barChart>
      <c:catAx>
        <c:axId val="211377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65839"/>
        <c:crosses val="autoZero"/>
        <c:auto val="1"/>
        <c:lblAlgn val="ctr"/>
        <c:lblOffset val="100"/>
        <c:noMultiLvlLbl val="0"/>
      </c:catAx>
      <c:valAx>
        <c:axId val="2113765839"/>
        <c:scaling>
          <c:orientation val="minMax"/>
        </c:scaling>
        <c:delete val="1"/>
        <c:axPos val="l"/>
        <c:numFmt formatCode="General" sourceLinked="1"/>
        <c:majorTickMark val="none"/>
        <c:minorTickMark val="none"/>
        <c:tickLblPos val="nextTo"/>
        <c:crossAx val="21137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Analysis</a:t>
            </a:r>
            <a:endParaRPr lang="en-US"/>
          </a:p>
        </c:rich>
      </c:tx>
      <c:layout>
        <c:manualLayout>
          <c:xMode val="edge"/>
          <c:yMode val="edge"/>
          <c:x val="0.30343744531933509"/>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662904636920385"/>
          <c:y val="0.11050707203266258"/>
          <c:w val="0.50314020122484693"/>
          <c:h val="0.83856700204141144"/>
        </c:manualLayout>
      </c:layout>
      <c:pieChart>
        <c:varyColors val="1"/>
        <c:ser>
          <c:idx val="0"/>
          <c:order val="0"/>
          <c:tx>
            <c:strRef>
              <c:f>Pivot!$B$52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4E-4DA0-A801-4EEDF9AF7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4E-4DA0-A801-4EEDF9AF78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4E-4DA0-A801-4EEDF9AF78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4E-4DA0-A801-4EEDF9AF78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4E-4DA0-A801-4EEDF9AF7895}"/>
              </c:ext>
            </c:extLst>
          </c:dPt>
          <c:cat>
            <c:strRef>
              <c:f>Pivot!$A$53:$A$58</c:f>
              <c:strCache>
                <c:ptCount val="5"/>
                <c:pt idx="0">
                  <c:v>Bank Credit</c:v>
                </c:pt>
                <c:pt idx="1">
                  <c:v>Bank Transfer</c:v>
                </c:pt>
                <c:pt idx="2">
                  <c:v>Cash</c:v>
                </c:pt>
                <c:pt idx="3">
                  <c:v>Net Banking</c:v>
                </c:pt>
                <c:pt idx="4">
                  <c:v>UPI</c:v>
                </c:pt>
              </c:strCache>
            </c:strRef>
          </c:cat>
          <c:val>
            <c:numRef>
              <c:f>Pivot!$B$53:$B$58</c:f>
              <c:numCache>
                <c:formatCode>General</c:formatCode>
                <c:ptCount val="5"/>
                <c:pt idx="0">
                  <c:v>21</c:v>
                </c:pt>
                <c:pt idx="1">
                  <c:v>22</c:v>
                </c:pt>
                <c:pt idx="2">
                  <c:v>10</c:v>
                </c:pt>
                <c:pt idx="3">
                  <c:v>366</c:v>
                </c:pt>
                <c:pt idx="4">
                  <c:v>67</c:v>
                </c:pt>
              </c:numCache>
            </c:numRef>
          </c:val>
          <c:extLst>
            <c:ext xmlns:c16="http://schemas.microsoft.com/office/drawing/2014/chart" uri="{C3380CC4-5D6E-409C-BE32-E72D297353CC}">
              <c16:uniqueId val="{0000000A-744E-4DA0-A801-4EEDF9AF78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28575</xdr:rowOff>
    </xdr:from>
    <xdr:to>
      <xdr:col>10</xdr:col>
      <xdr:colOff>19050</xdr:colOff>
      <xdr:row>11</xdr:row>
      <xdr:rowOff>95250</xdr:rowOff>
    </xdr:to>
    <xdr:graphicFrame macro="">
      <xdr:nvGraphicFramePr>
        <xdr:cNvPr id="2" name="Chart 1">
          <a:extLst>
            <a:ext uri="{FF2B5EF4-FFF2-40B4-BE49-F238E27FC236}">
              <a16:creationId xmlns:a16="http://schemas.microsoft.com/office/drawing/2014/main" id="{591BE3A2-E9D8-C929-A574-E6D24E8CF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13</xdr:row>
      <xdr:rowOff>23812</xdr:rowOff>
    </xdr:from>
    <xdr:to>
      <xdr:col>11</xdr:col>
      <xdr:colOff>314325</xdr:colOff>
      <xdr:row>27</xdr:row>
      <xdr:rowOff>100012</xdr:rowOff>
    </xdr:to>
    <xdr:graphicFrame macro="">
      <xdr:nvGraphicFramePr>
        <xdr:cNvPr id="3" name="Chart 2">
          <a:extLst>
            <a:ext uri="{FF2B5EF4-FFF2-40B4-BE49-F238E27FC236}">
              <a16:creationId xmlns:a16="http://schemas.microsoft.com/office/drawing/2014/main" id="{0538AD59-A741-0D3F-6AC3-F248D3598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31</xdr:row>
      <xdr:rowOff>180974</xdr:rowOff>
    </xdr:from>
    <xdr:to>
      <xdr:col>13</xdr:col>
      <xdr:colOff>381000</xdr:colOff>
      <xdr:row>46</xdr:row>
      <xdr:rowOff>152400</xdr:rowOff>
    </xdr:to>
    <xdr:graphicFrame macro="">
      <xdr:nvGraphicFramePr>
        <xdr:cNvPr id="4" name="Chart 3">
          <a:extLst>
            <a:ext uri="{FF2B5EF4-FFF2-40B4-BE49-F238E27FC236}">
              <a16:creationId xmlns:a16="http://schemas.microsoft.com/office/drawing/2014/main" id="{84EF0A3C-76AB-FED5-242B-EDD0AC7ED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49</xdr:row>
      <xdr:rowOff>23812</xdr:rowOff>
    </xdr:from>
    <xdr:to>
      <xdr:col>13</xdr:col>
      <xdr:colOff>304800</xdr:colOff>
      <xdr:row>63</xdr:row>
      <xdr:rowOff>100012</xdr:rowOff>
    </xdr:to>
    <xdr:graphicFrame macro="">
      <xdr:nvGraphicFramePr>
        <xdr:cNvPr id="6" name="Chart 5">
          <a:extLst>
            <a:ext uri="{FF2B5EF4-FFF2-40B4-BE49-F238E27FC236}">
              <a16:creationId xmlns:a16="http://schemas.microsoft.com/office/drawing/2014/main" id="{1D3DFB27-3B59-C8E6-89DB-F833C71DC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600075</xdr:colOff>
      <xdr:row>66</xdr:row>
      <xdr:rowOff>23812</xdr:rowOff>
    </xdr:from>
    <xdr:to>
      <xdr:col>13</xdr:col>
      <xdr:colOff>295275</xdr:colOff>
      <xdr:row>80</xdr:row>
      <xdr:rowOff>100012</xdr:rowOff>
    </xdr:to>
    <xdr:graphicFrame macro="">
      <xdr:nvGraphicFramePr>
        <xdr:cNvPr id="7" name="Chart 6">
          <a:extLst>
            <a:ext uri="{FF2B5EF4-FFF2-40B4-BE49-F238E27FC236}">
              <a16:creationId xmlns:a16="http://schemas.microsoft.com/office/drawing/2014/main" id="{00E5FBA7-6EF8-8169-BA91-1585ABC99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85725</xdr:colOff>
      <xdr:row>1</xdr:row>
      <xdr:rowOff>180975</xdr:rowOff>
    </xdr:from>
    <xdr:to>
      <xdr:col>15</xdr:col>
      <xdr:colOff>419100</xdr:colOff>
      <xdr:row>12</xdr:row>
      <xdr:rowOff>57150</xdr:rowOff>
    </xdr:to>
    <xdr:graphicFrame macro="">
      <xdr:nvGraphicFramePr>
        <xdr:cNvPr id="2" name="Chart 1">
          <a:extLst>
            <a:ext uri="{FF2B5EF4-FFF2-40B4-BE49-F238E27FC236}">
              <a16:creationId xmlns:a16="http://schemas.microsoft.com/office/drawing/2014/main" id="{3670CB8F-9000-4B86-B73C-F553A9626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390526</xdr:colOff>
      <xdr:row>12</xdr:row>
      <xdr:rowOff>85725</xdr:rowOff>
    </xdr:from>
    <xdr:to>
      <xdr:col>20</xdr:col>
      <xdr:colOff>542926</xdr:colOff>
      <xdr:row>20</xdr:row>
      <xdr:rowOff>161925</xdr:rowOff>
    </xdr:to>
    <xdr:graphicFrame macro="">
      <xdr:nvGraphicFramePr>
        <xdr:cNvPr id="3" name="Chart 2">
          <a:extLst>
            <a:ext uri="{FF2B5EF4-FFF2-40B4-BE49-F238E27FC236}">
              <a16:creationId xmlns:a16="http://schemas.microsoft.com/office/drawing/2014/main" id="{CD062402-A513-4C5B-9085-EA288838B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447675</xdr:colOff>
      <xdr:row>2</xdr:row>
      <xdr:rowOff>19050</xdr:rowOff>
    </xdr:from>
    <xdr:to>
      <xdr:col>20</xdr:col>
      <xdr:colOff>485775</xdr:colOff>
      <xdr:row>12</xdr:row>
      <xdr:rowOff>38100</xdr:rowOff>
    </xdr:to>
    <xdr:graphicFrame macro="">
      <xdr:nvGraphicFramePr>
        <xdr:cNvPr id="4" name="Chart 3">
          <a:extLst>
            <a:ext uri="{FF2B5EF4-FFF2-40B4-BE49-F238E27FC236}">
              <a16:creationId xmlns:a16="http://schemas.microsoft.com/office/drawing/2014/main" id="{FD238F7D-D0F7-434F-90BD-ED5799B78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12</xdr:row>
      <xdr:rowOff>76200</xdr:rowOff>
    </xdr:from>
    <xdr:to>
      <xdr:col>10</xdr:col>
      <xdr:colOff>333375</xdr:colOff>
      <xdr:row>20</xdr:row>
      <xdr:rowOff>161926</xdr:rowOff>
    </xdr:to>
    <xdr:graphicFrame macro="">
      <xdr:nvGraphicFramePr>
        <xdr:cNvPr id="5" name="Chart 4">
          <a:extLst>
            <a:ext uri="{FF2B5EF4-FFF2-40B4-BE49-F238E27FC236}">
              <a16:creationId xmlns:a16="http://schemas.microsoft.com/office/drawing/2014/main" id="{DE75A5F7-1B23-4E36-A279-57AB630AB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57150</xdr:colOff>
      <xdr:row>2</xdr:row>
      <xdr:rowOff>0</xdr:rowOff>
    </xdr:from>
    <xdr:to>
      <xdr:col>6</xdr:col>
      <xdr:colOff>57150</xdr:colOff>
      <xdr:row>21</xdr:row>
      <xdr:rowOff>9525</xdr:rowOff>
    </xdr:to>
    <mc:AlternateContent xmlns:mc="http://schemas.openxmlformats.org/markup-compatibility/2006" xmlns:a14="http://schemas.microsoft.com/office/drawing/2010/main">
      <mc:Choice Requires="a14">
        <xdr:graphicFrame macro="">
          <xdr:nvGraphicFramePr>
            <xdr:cNvPr id="7" name="Main-Category">
              <a:extLst>
                <a:ext uri="{FF2B5EF4-FFF2-40B4-BE49-F238E27FC236}">
                  <a16:creationId xmlns:a16="http://schemas.microsoft.com/office/drawing/2014/main" id="{C2C1A27B-010E-B68B-3A70-3AC8D54A6436}"/>
                </a:ext>
              </a:extLst>
            </xdr:cNvPr>
            <xdr:cNvGraphicFramePr/>
          </xdr:nvGraphicFramePr>
          <xdr:xfrm>
            <a:off x="0" y="0"/>
            <a:ext cx="0" cy="0"/>
          </xdr:xfrm>
          <a:graphic>
            <a:graphicData uri="http://schemas.microsoft.com/office/drawing/2010/slicer">
              <sle:slicer xmlns:sle="http://schemas.microsoft.com/office/drawing/2010/slicer" name="Main-Category"/>
            </a:graphicData>
          </a:graphic>
        </xdr:graphicFrame>
      </mc:Choice>
      <mc:Fallback xmlns="">
        <xdr:sp macro="" textlink="">
          <xdr:nvSpPr>
            <xdr:cNvPr id="0" name=""/>
            <xdr:cNvSpPr>
              <a:spLocks noTextEdit="1"/>
            </xdr:cNvSpPr>
          </xdr:nvSpPr>
          <xdr:spPr>
            <a:xfrm>
              <a:off x="1885950" y="381000"/>
              <a:ext cx="1828800" cy="362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19051</xdr:rowOff>
    </xdr:from>
    <xdr:to>
      <xdr:col>3</xdr:col>
      <xdr:colOff>9525</xdr:colOff>
      <xdr:row>21</xdr:row>
      <xdr:rowOff>1</xdr:rowOff>
    </xdr:to>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91B5C0C4-7521-4E1F-1F2F-C49A0431C69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525" y="28765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3</xdr:col>
      <xdr:colOff>0</xdr:colOff>
      <xdr:row>14</xdr:row>
      <xdr:rowOff>180975</xdr:rowOff>
    </xdr:to>
    <mc:AlternateContent xmlns:mc="http://schemas.openxmlformats.org/markup-compatibility/2006" xmlns:a14="http://schemas.microsoft.com/office/drawing/2010/main">
      <mc:Choice Requires="a14">
        <xdr:graphicFrame macro="">
          <xdr:nvGraphicFramePr>
            <xdr:cNvPr id="9" name="Months (Date)">
              <a:extLst>
                <a:ext uri="{FF2B5EF4-FFF2-40B4-BE49-F238E27FC236}">
                  <a16:creationId xmlns:a16="http://schemas.microsoft.com/office/drawing/2014/main" id="{5CF63301-DC11-830B-ED25-A9B476D991D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09.959132291668" createdVersion="8" refreshedVersion="8" minRefreshableVersion="3" recordCount="486" xr:uid="{8C999E45-5F5A-438B-A943-64BA8DD8A130}">
  <cacheSource type="worksheet">
    <worksheetSource ref="A1:L487" sheet="Clean data"/>
  </cacheSource>
  <cacheFields count="14">
    <cacheField name="Date" numFmtId="166">
      <sharedItems containsSemiMixedTypes="0" containsNonDate="0" containsDate="1" containsString="0" minDate="2021-01-04T00:00:00" maxDate="2021-11-01T00:00:00" count="272">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sharedItems>
      <fieldGroup par="13"/>
    </cacheField>
    <cacheField name="Year" numFmtId="0">
      <sharedItems containsSemiMixedTypes="0" containsString="0" containsNumber="1" containsInteger="1" minValue="2021" maxValue="2021" count="1">
        <n v="2021"/>
      </sharedItems>
    </cacheField>
    <cacheField name="Description" numFmtId="0">
      <sharedItems/>
    </cacheField>
    <cacheField name="Sub-category" numFmtId="0">
      <sharedItems/>
    </cacheField>
    <cacheField name="Category" numFmtId="0">
      <sharedItems/>
    </cacheField>
    <cacheField name="Main-Category" numFmtId="0">
      <sharedItems count="10">
        <s v="Salary"/>
        <s v="Food"/>
        <s v="Housing"/>
        <s v="Loan"/>
        <s v="Entertainment"/>
        <s v="Personal"/>
        <s v="Transportation"/>
        <s v="Passive"/>
        <s v="Utilities"/>
        <s v="Medical"/>
      </sharedItems>
    </cacheField>
    <cacheField name="Amount" numFmtId="0">
      <sharedItems containsSemiMixedTypes="0" containsString="0" containsNumber="1" minValue="-900" maxValue="5000"/>
    </cacheField>
    <cacheField name="Payment_mode" numFmtId="0">
      <sharedItems count="5">
        <s v="Bank Credit"/>
        <s v="Net Banking"/>
        <s v="Bank Transfer"/>
        <s v="Cash"/>
        <s v="UPI"/>
      </sharedItems>
    </cacheField>
    <cacheField name="Income " numFmtId="0">
      <sharedItems containsSemiMixedTypes="0" containsString="0" containsNumber="1" containsInteger="1" minValue="0" maxValue="5000" count="8">
        <n v="5000"/>
        <n v="0"/>
        <n v="4500"/>
        <n v="800"/>
        <n v="1000"/>
        <n v="2340"/>
        <n v="100"/>
        <n v="200"/>
      </sharedItems>
    </cacheField>
    <cacheField name="Expense" numFmtId="0">
      <sharedItems containsSemiMixedTypes="0" containsString="0" containsNumber="1" minValue="0" maxValue="900" count="177">
        <n v="0"/>
        <n v="5"/>
        <n v="900"/>
        <n v="150"/>
        <n v="155"/>
        <n v="50"/>
        <n v="77"/>
        <n v="135"/>
        <n v="40"/>
        <n v="98"/>
        <n v="52"/>
        <n v="28"/>
        <n v="45"/>
        <n v="32"/>
        <n v="170"/>
        <n v="37"/>
        <n v="12"/>
        <n v="55"/>
        <n v="63"/>
        <n v="162"/>
        <n v="125"/>
        <n v="175"/>
        <n v="145"/>
        <n v="23"/>
        <n v="205"/>
        <n v="51.1"/>
        <n v="78"/>
        <n v="135.9"/>
        <n v="40.9"/>
        <n v="99"/>
        <n v="53"/>
        <n v="28.9"/>
        <n v="45.9"/>
        <n v="35"/>
        <n v="171"/>
        <n v="37.9"/>
        <n v="12.9"/>
        <n v="64.099999999999994"/>
        <n v="162.9"/>
        <n v="125.9"/>
        <n v="137"/>
        <n v="146.1"/>
        <n v="24.1"/>
        <n v="149"/>
        <n v="52.1"/>
        <n v="78.900000000000006"/>
        <n v="41.8"/>
        <n v="99.9"/>
        <n v="54"/>
        <n v="30"/>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sharedItems>
    </cacheField>
    <cacheField name="Net_balance" numFmtId="0">
      <sharedItems containsSemiMixedTypes="0" containsString="0" containsNumber="1" minValue="-900" maxValue="5000"/>
    </cacheField>
    <cacheField name="Budget_status" numFmtId="0">
      <sharedItems/>
    </cacheField>
    <cacheField name="Days (Date)" numFmtId="0" databaseField="0">
      <fieldGroup base="0">
        <rangePr groupBy="days" startDate="2021-01-04T00:00:00" endDate="2021-11-01T00:00:00"/>
        <groupItems count="368">
          <s v="&lt;04-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1"/>
        </groupItems>
      </fieldGroup>
    </cacheField>
    <cacheField name="Months (Date)" numFmtId="0" databaseField="0">
      <fieldGroup base="0">
        <rangePr groupBy="months" startDate="2021-01-04T00:00:00" endDate="2021-11-01T00:00:00"/>
        <groupItems count="14">
          <s v="&lt;04-01-2021"/>
          <s v="Jan"/>
          <s v="Feb"/>
          <s v="Mar"/>
          <s v="Apr"/>
          <s v="May"/>
          <s v="Jun"/>
          <s v="Jul"/>
          <s v="Aug"/>
          <s v="Sep"/>
          <s v="Oct"/>
          <s v="Nov"/>
          <s v="Dec"/>
          <s v="&gt;01-11-2021"/>
        </groupItems>
      </fieldGroup>
    </cacheField>
  </cacheFields>
  <extLst>
    <ext xmlns:x14="http://schemas.microsoft.com/office/spreadsheetml/2009/9/main" uri="{725AE2AE-9491-48be-B2B4-4EB974FC3084}">
      <x14:pivotCacheDefinition pivotCacheId="631798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x v="0"/>
    <x v="0"/>
    <s v="Data With Decision"/>
    <s v="Data with Decision"/>
    <s v="Salary"/>
    <x v="0"/>
    <n v="5000"/>
    <x v="0"/>
    <x v="0"/>
    <x v="0"/>
    <n v="5000"/>
    <s v="Saving"/>
  </r>
  <r>
    <x v="0"/>
    <x v="0"/>
    <s v="Drink"/>
    <s v="Coffee"/>
    <s v="Dining Out"/>
    <x v="1"/>
    <n v="-5"/>
    <x v="1"/>
    <x v="1"/>
    <x v="1"/>
    <n v="-5"/>
    <s v="Spenting"/>
  </r>
  <r>
    <x v="1"/>
    <x v="0"/>
    <s v="Estate Mangement"/>
    <s v="Rent"/>
    <s v="Living Expenses"/>
    <x v="2"/>
    <n v="-900"/>
    <x v="2"/>
    <x v="1"/>
    <x v="2"/>
    <n v="-900"/>
    <s v="Spenting"/>
  </r>
  <r>
    <x v="1"/>
    <x v="0"/>
    <s v="Financail upgrade"/>
    <s v="Cash loan"/>
    <s v="Transport"/>
    <x v="3"/>
    <n v="-150"/>
    <x v="3"/>
    <x v="1"/>
    <x v="3"/>
    <n v="-150"/>
    <s v="Spenting"/>
  </r>
  <r>
    <x v="1"/>
    <x v="0"/>
    <s v="Drink"/>
    <s v="Coffee"/>
    <s v="Dining Out"/>
    <x v="1"/>
    <n v="-5"/>
    <x v="1"/>
    <x v="1"/>
    <x v="1"/>
    <n v="-5"/>
    <s v="Spenting"/>
  </r>
  <r>
    <x v="2"/>
    <x v="0"/>
    <s v="Drink"/>
    <s v="Coffee"/>
    <s v="Dining Out"/>
    <x v="1"/>
    <n v="-5"/>
    <x v="1"/>
    <x v="1"/>
    <x v="1"/>
    <n v="-5"/>
    <s v="Spenting"/>
  </r>
  <r>
    <x v="3"/>
    <x v="0"/>
    <s v="Drink"/>
    <s v="Coffee"/>
    <s v="Dining Out"/>
    <x v="1"/>
    <n v="-5"/>
    <x v="1"/>
    <x v="1"/>
    <x v="1"/>
    <n v="-5"/>
    <s v="Spenting"/>
  </r>
  <r>
    <x v="4"/>
    <x v="0"/>
    <s v="Drink"/>
    <s v="Coffee"/>
    <s v="Dining Out"/>
    <x v="1"/>
    <n v="-5"/>
    <x v="1"/>
    <x v="1"/>
    <x v="1"/>
    <n v="-5"/>
    <s v="Spenting"/>
  </r>
  <r>
    <x v="4"/>
    <x v="0"/>
    <s v="Green's"/>
    <s v="Groceries"/>
    <s v="Living Expenses"/>
    <x v="1"/>
    <n v="-155"/>
    <x v="1"/>
    <x v="1"/>
    <x v="4"/>
    <n v="-155"/>
    <s v="Spenting"/>
  </r>
  <r>
    <x v="5"/>
    <x v="0"/>
    <s v="Power source"/>
    <s v="Gas/Electrics"/>
    <s v="Living Expenses"/>
    <x v="1"/>
    <n v="-50"/>
    <x v="1"/>
    <x v="1"/>
    <x v="5"/>
    <n v="-50"/>
    <s v="Spenting"/>
  </r>
  <r>
    <x v="5"/>
    <x v="0"/>
    <s v="Drink"/>
    <s v="Coffee"/>
    <s v="Dining Out"/>
    <x v="1"/>
    <n v="-5"/>
    <x v="1"/>
    <x v="1"/>
    <x v="1"/>
    <n v="-5"/>
    <s v="Spenting"/>
  </r>
  <r>
    <x v="6"/>
    <x v="0"/>
    <s v="Drink"/>
    <s v="Coffee"/>
    <s v="Dining Out"/>
    <x v="1"/>
    <n v="-5"/>
    <x v="1"/>
    <x v="1"/>
    <x v="1"/>
    <n v="-5"/>
    <s v="Spenting"/>
  </r>
  <r>
    <x v="7"/>
    <x v="0"/>
    <s v="Fuel"/>
    <s v="Coffee"/>
    <s v="Dining Out"/>
    <x v="1"/>
    <n v="-77"/>
    <x v="1"/>
    <x v="1"/>
    <x v="6"/>
    <n v="-77"/>
    <s v="Spenting"/>
  </r>
  <r>
    <x v="7"/>
    <x v="0"/>
    <s v="Drink"/>
    <s v="Coffee"/>
    <s v="Dining Out"/>
    <x v="1"/>
    <n v="-5"/>
    <x v="1"/>
    <x v="1"/>
    <x v="1"/>
    <n v="-5"/>
    <s v="Spenting"/>
  </r>
  <r>
    <x v="8"/>
    <x v="0"/>
    <s v="Drink"/>
    <s v="Coffee"/>
    <s v="Dining Out"/>
    <x v="1"/>
    <n v="-5"/>
    <x v="1"/>
    <x v="1"/>
    <x v="1"/>
    <n v="-5"/>
    <s v="Spenting"/>
  </r>
  <r>
    <x v="9"/>
    <x v="0"/>
    <s v="Green's"/>
    <s v="Groceries"/>
    <s v="Living Expenses"/>
    <x v="1"/>
    <n v="-135"/>
    <x v="1"/>
    <x v="1"/>
    <x v="7"/>
    <n v="-135"/>
    <s v="Spenting"/>
  </r>
  <r>
    <x v="9"/>
    <x v="0"/>
    <s v="Drink"/>
    <s v="Coffee"/>
    <s v="Dining Out"/>
    <x v="1"/>
    <n v="-5"/>
    <x v="1"/>
    <x v="1"/>
    <x v="1"/>
    <n v="-5"/>
    <s v="Spenting"/>
  </r>
  <r>
    <x v="10"/>
    <x v="0"/>
    <s v="Drink"/>
    <s v="Coffee"/>
    <s v="Dining Out"/>
    <x v="1"/>
    <n v="-5"/>
    <x v="1"/>
    <x v="1"/>
    <x v="1"/>
    <n v="-5"/>
    <s v="Spenting"/>
  </r>
  <r>
    <x v="10"/>
    <x v="0"/>
    <s v="Cinemas"/>
    <s v="Entertainment"/>
    <s v="Discretionary"/>
    <x v="4"/>
    <n v="-40"/>
    <x v="4"/>
    <x v="1"/>
    <x v="8"/>
    <n v="-40"/>
    <s v="Spenting"/>
  </r>
  <r>
    <x v="10"/>
    <x v="0"/>
    <s v="Fashionistas"/>
    <s v="Clothes"/>
    <s v="Discretionary"/>
    <x v="5"/>
    <n v="-98"/>
    <x v="1"/>
    <x v="1"/>
    <x v="9"/>
    <n v="-98"/>
    <s v="Spenting"/>
  </r>
  <r>
    <x v="10"/>
    <x v="0"/>
    <s v="Burger"/>
    <s v="Restaurant"/>
    <s v="Dining Out"/>
    <x v="1"/>
    <n v="-52"/>
    <x v="1"/>
    <x v="1"/>
    <x v="10"/>
    <n v="-52"/>
    <s v="Spenting"/>
  </r>
  <r>
    <x v="11"/>
    <x v="0"/>
    <s v="Uba"/>
    <s v="Taxi"/>
    <s v="Transport"/>
    <x v="6"/>
    <n v="-28"/>
    <x v="4"/>
    <x v="1"/>
    <x v="11"/>
    <n v="-28"/>
    <s v="Spenting"/>
  </r>
  <r>
    <x v="12"/>
    <x v="0"/>
    <s v="Onlne earning"/>
    <s v="YouTube"/>
    <s v="Passive"/>
    <x v="7"/>
    <n v="4500"/>
    <x v="0"/>
    <x v="2"/>
    <x v="0"/>
    <n v="4500"/>
    <s v="Saving"/>
  </r>
  <r>
    <x v="12"/>
    <x v="0"/>
    <s v="Drink"/>
    <s v="Coffee"/>
    <s v="Dining Out"/>
    <x v="1"/>
    <n v="-5"/>
    <x v="1"/>
    <x v="1"/>
    <x v="1"/>
    <n v="-5"/>
    <s v="Spenting"/>
  </r>
  <r>
    <x v="13"/>
    <x v="0"/>
    <s v="Drink"/>
    <s v="Coffee"/>
    <s v="Dining Out"/>
    <x v="1"/>
    <n v="-5"/>
    <x v="1"/>
    <x v="1"/>
    <x v="1"/>
    <n v="-5"/>
    <s v="Spenting"/>
  </r>
  <r>
    <x v="13"/>
    <x v="0"/>
    <s v="Onlne earning"/>
    <s v="Teachable"/>
    <s v="Passive"/>
    <x v="7"/>
    <n v="4500"/>
    <x v="0"/>
    <x v="2"/>
    <x v="0"/>
    <n v="4500"/>
    <s v="Saving"/>
  </r>
  <r>
    <x v="13"/>
    <x v="0"/>
    <s v="Phone"/>
    <s v="Phone"/>
    <s v="Living Expenses"/>
    <x v="8"/>
    <n v="-40"/>
    <x v="2"/>
    <x v="1"/>
    <x v="8"/>
    <n v="-40"/>
    <s v="Spenting"/>
  </r>
  <r>
    <x v="14"/>
    <x v="0"/>
    <s v="Sallah give away"/>
    <s v="Gifts"/>
    <s v="Discretionary"/>
    <x v="5"/>
    <n v="-45"/>
    <x v="1"/>
    <x v="1"/>
    <x v="12"/>
    <n v="-45"/>
    <s v="Spenting"/>
  </r>
  <r>
    <x v="14"/>
    <x v="0"/>
    <s v="Online streaming"/>
    <s v="Entertainment"/>
    <s v="Discretionary"/>
    <x v="4"/>
    <n v="-32"/>
    <x v="4"/>
    <x v="1"/>
    <x v="13"/>
    <n v="-32"/>
    <s v="Spenting"/>
  </r>
  <r>
    <x v="14"/>
    <x v="0"/>
    <s v="Drink"/>
    <s v="Coffee"/>
    <s v="Dining Out"/>
    <x v="1"/>
    <n v="-5"/>
    <x v="1"/>
    <x v="1"/>
    <x v="1"/>
    <n v="-5"/>
    <s v="Spenting"/>
  </r>
  <r>
    <x v="15"/>
    <x v="0"/>
    <s v="Drink"/>
    <s v="Coffee"/>
    <s v="Dining Out"/>
    <x v="1"/>
    <n v="-5"/>
    <x v="1"/>
    <x v="1"/>
    <x v="1"/>
    <n v="-5"/>
    <s v="Spenting"/>
  </r>
  <r>
    <x v="16"/>
    <x v="0"/>
    <s v="Drink"/>
    <s v="Coffee"/>
    <s v="Dining Out"/>
    <x v="1"/>
    <n v="-5"/>
    <x v="1"/>
    <x v="1"/>
    <x v="1"/>
    <n v="-5"/>
    <s v="Spenting"/>
  </r>
  <r>
    <x v="16"/>
    <x v="0"/>
    <s v="Green's"/>
    <s v="Groceries"/>
    <s v="Living Expenses"/>
    <x v="1"/>
    <n v="-170"/>
    <x v="1"/>
    <x v="1"/>
    <x v="14"/>
    <n v="-170"/>
    <s v="Spenting"/>
  </r>
  <r>
    <x v="17"/>
    <x v="0"/>
    <s v="Suya"/>
    <s v="Restaurant"/>
    <s v="Dining Out"/>
    <x v="1"/>
    <n v="-37"/>
    <x v="1"/>
    <x v="1"/>
    <x v="15"/>
    <n v="-37"/>
    <s v="Spenting"/>
  </r>
  <r>
    <x v="18"/>
    <x v="0"/>
    <s v="Oha soup/White soup"/>
    <s v="Restaurant"/>
    <s v="Dining Out"/>
    <x v="1"/>
    <n v="-12"/>
    <x v="1"/>
    <x v="1"/>
    <x v="16"/>
    <n v="-12"/>
    <s v="Spenting"/>
  </r>
  <r>
    <x v="19"/>
    <x v="0"/>
    <s v="Orphanage"/>
    <s v="Donation"/>
    <s v="Charity"/>
    <x v="5"/>
    <n v="-55"/>
    <x v="1"/>
    <x v="1"/>
    <x v="17"/>
    <n v="-55"/>
    <s v="Spenting"/>
  </r>
  <r>
    <x v="19"/>
    <x v="0"/>
    <s v="Fuel"/>
    <s v="Fueling"/>
    <s v="Transport"/>
    <x v="6"/>
    <n v="-63"/>
    <x v="4"/>
    <x v="1"/>
    <x v="18"/>
    <n v="-63"/>
    <s v="Spenting"/>
  </r>
  <r>
    <x v="19"/>
    <x v="0"/>
    <s v="Drink"/>
    <s v="Coffee"/>
    <s v="Dining Out"/>
    <x v="1"/>
    <n v="-5"/>
    <x v="1"/>
    <x v="1"/>
    <x v="1"/>
    <n v="-5"/>
    <s v="Spenting"/>
  </r>
  <r>
    <x v="20"/>
    <x v="0"/>
    <s v="Drink"/>
    <s v="Coffee"/>
    <s v="Dining Out"/>
    <x v="1"/>
    <n v="-5"/>
    <x v="1"/>
    <x v="1"/>
    <x v="1"/>
    <n v="-5"/>
    <s v="Spenting"/>
  </r>
  <r>
    <x v="21"/>
    <x v="0"/>
    <s v="Drink"/>
    <s v="Coffee"/>
    <s v="Dining Out"/>
    <x v="1"/>
    <n v="-5"/>
    <x v="1"/>
    <x v="1"/>
    <x v="1"/>
    <n v="-5"/>
    <s v="Spenting"/>
  </r>
  <r>
    <x v="22"/>
    <x v="0"/>
    <s v="Drink"/>
    <s v="Coffee"/>
    <s v="Dining Out"/>
    <x v="1"/>
    <n v="-5"/>
    <x v="1"/>
    <x v="1"/>
    <x v="1"/>
    <n v="-5"/>
    <s v="Spenting"/>
  </r>
  <r>
    <x v="23"/>
    <x v="0"/>
    <s v="Drink"/>
    <s v="Coffee"/>
    <s v="Dining Out"/>
    <x v="1"/>
    <n v="-5"/>
    <x v="1"/>
    <x v="1"/>
    <x v="1"/>
    <n v="-5"/>
    <s v="Spenting"/>
  </r>
  <r>
    <x v="23"/>
    <x v="0"/>
    <s v="Green's"/>
    <s v="Groceries"/>
    <s v="Living Expenses"/>
    <x v="1"/>
    <n v="-162"/>
    <x v="1"/>
    <x v="1"/>
    <x v="19"/>
    <n v="-162"/>
    <s v="Spenting"/>
  </r>
  <r>
    <x v="24"/>
    <x v="0"/>
    <s v="Trainers"/>
    <s v="Clothes"/>
    <s v="Discretionary"/>
    <x v="5"/>
    <n v="-125"/>
    <x v="1"/>
    <x v="1"/>
    <x v="20"/>
    <n v="-125"/>
    <s v="Spenting"/>
  </r>
  <r>
    <x v="24"/>
    <x v="0"/>
    <s v="Hangingout/Ticket"/>
    <s v="Entertainment"/>
    <s v="Discretionary"/>
    <x v="4"/>
    <n v="-175"/>
    <x v="4"/>
    <x v="1"/>
    <x v="21"/>
    <n v="-175"/>
    <s v="Spenting"/>
  </r>
  <r>
    <x v="25"/>
    <x v="0"/>
    <s v="Fashionistas"/>
    <s v="Clothes"/>
    <s v="Discretionary"/>
    <x v="5"/>
    <n v="-145"/>
    <x v="1"/>
    <x v="1"/>
    <x v="22"/>
    <n v="-145"/>
    <s v="Spenting"/>
  </r>
  <r>
    <x v="25"/>
    <x v="0"/>
    <s v="Uba"/>
    <s v="Taxi"/>
    <s v="Transport"/>
    <x v="6"/>
    <n v="-23"/>
    <x v="4"/>
    <x v="1"/>
    <x v="23"/>
    <n v="-23"/>
    <s v="Spenting"/>
  </r>
  <r>
    <x v="26"/>
    <x v="0"/>
    <s v="Data With Decision"/>
    <s v="Data with Decision"/>
    <s v="Salary"/>
    <x v="0"/>
    <n v="5000"/>
    <x v="0"/>
    <x v="0"/>
    <x v="0"/>
    <n v="5000"/>
    <s v="Saving"/>
  </r>
  <r>
    <x v="26"/>
    <x v="0"/>
    <s v="Drink"/>
    <s v="Coffee"/>
    <s v="Dining Out"/>
    <x v="1"/>
    <n v="-5"/>
    <x v="1"/>
    <x v="1"/>
    <x v="1"/>
    <n v="-5"/>
    <s v="Spenting"/>
  </r>
  <r>
    <x v="27"/>
    <x v="0"/>
    <s v="Estate Mangement"/>
    <s v="Rent"/>
    <s v="Living Expenses"/>
    <x v="2"/>
    <n v="-900"/>
    <x v="2"/>
    <x v="1"/>
    <x v="2"/>
    <n v="-900"/>
    <s v="Spenting"/>
  </r>
  <r>
    <x v="27"/>
    <x v="0"/>
    <s v="Financail upgrade"/>
    <s v="Cash loan"/>
    <s v="Transport"/>
    <x v="3"/>
    <n v="-150"/>
    <x v="3"/>
    <x v="1"/>
    <x v="3"/>
    <n v="-150"/>
    <s v="Spenting"/>
  </r>
  <r>
    <x v="27"/>
    <x v="0"/>
    <s v="Drink"/>
    <s v="Coffee"/>
    <s v="Dining Out"/>
    <x v="1"/>
    <n v="-5"/>
    <x v="1"/>
    <x v="1"/>
    <x v="1"/>
    <n v="-5"/>
    <s v="Spenting"/>
  </r>
  <r>
    <x v="28"/>
    <x v="0"/>
    <s v="Drink"/>
    <s v="Coffee"/>
    <s v="Dining Out"/>
    <x v="1"/>
    <n v="-5"/>
    <x v="1"/>
    <x v="1"/>
    <x v="1"/>
    <n v="-5"/>
    <s v="Spenting"/>
  </r>
  <r>
    <x v="29"/>
    <x v="0"/>
    <s v="Drink"/>
    <s v="Coffee"/>
    <s v="Dining Out"/>
    <x v="1"/>
    <n v="-5"/>
    <x v="1"/>
    <x v="1"/>
    <x v="1"/>
    <n v="-5"/>
    <s v="Spenting"/>
  </r>
  <r>
    <x v="30"/>
    <x v="0"/>
    <s v="Drink"/>
    <s v="Coffee"/>
    <s v="Dining Out"/>
    <x v="1"/>
    <n v="-5"/>
    <x v="1"/>
    <x v="1"/>
    <x v="1"/>
    <n v="-5"/>
    <s v="Spenting"/>
  </r>
  <r>
    <x v="30"/>
    <x v="0"/>
    <s v="Green's"/>
    <s v="Groceries"/>
    <s v="Living Expenses"/>
    <x v="1"/>
    <n v="-205"/>
    <x v="1"/>
    <x v="1"/>
    <x v="24"/>
    <n v="-205"/>
    <s v="Spenting"/>
  </r>
  <r>
    <x v="31"/>
    <x v="0"/>
    <s v="Power source"/>
    <s v="Gas/Electrics"/>
    <s v="Living Expenses"/>
    <x v="1"/>
    <n v="-51.1"/>
    <x v="1"/>
    <x v="1"/>
    <x v="25"/>
    <n v="-51.1"/>
    <s v="Spenting"/>
  </r>
  <r>
    <x v="31"/>
    <x v="0"/>
    <s v="Drink"/>
    <s v="Coffee"/>
    <s v="Dining Out"/>
    <x v="1"/>
    <n v="-5"/>
    <x v="1"/>
    <x v="1"/>
    <x v="1"/>
    <n v="-5"/>
    <s v="Spenting"/>
  </r>
  <r>
    <x v="32"/>
    <x v="0"/>
    <s v="Drink"/>
    <s v="Coffee"/>
    <s v="Dining Out"/>
    <x v="1"/>
    <n v="-5"/>
    <x v="1"/>
    <x v="1"/>
    <x v="1"/>
    <n v="-5"/>
    <s v="Spenting"/>
  </r>
  <r>
    <x v="33"/>
    <x v="0"/>
    <s v="Fuel"/>
    <s v="Fueling"/>
    <s v="Transport"/>
    <x v="6"/>
    <n v="-78"/>
    <x v="4"/>
    <x v="1"/>
    <x v="26"/>
    <n v="-78"/>
    <s v="Spenting"/>
  </r>
  <r>
    <x v="33"/>
    <x v="0"/>
    <s v="Drink"/>
    <s v="Coffee"/>
    <s v="Dining Out"/>
    <x v="1"/>
    <n v="-5"/>
    <x v="1"/>
    <x v="1"/>
    <x v="1"/>
    <n v="-5"/>
    <s v="Spenting"/>
  </r>
  <r>
    <x v="34"/>
    <x v="0"/>
    <s v="Drink"/>
    <s v="Coffee"/>
    <s v="Dining Out"/>
    <x v="1"/>
    <n v="-5"/>
    <x v="1"/>
    <x v="1"/>
    <x v="1"/>
    <n v="-5"/>
    <s v="Spenting"/>
  </r>
  <r>
    <x v="35"/>
    <x v="0"/>
    <s v="Green's"/>
    <s v="Groceries"/>
    <s v="Living Expenses"/>
    <x v="1"/>
    <n v="-135.9"/>
    <x v="1"/>
    <x v="1"/>
    <x v="27"/>
    <n v="-135.9"/>
    <s v="Spenting"/>
  </r>
  <r>
    <x v="35"/>
    <x v="0"/>
    <s v="Drink"/>
    <s v="Coffee"/>
    <s v="Dining Out"/>
    <x v="1"/>
    <n v="-5"/>
    <x v="1"/>
    <x v="1"/>
    <x v="1"/>
    <n v="-5"/>
    <s v="Spenting"/>
  </r>
  <r>
    <x v="36"/>
    <x v="0"/>
    <s v="Drink"/>
    <s v="Coffee"/>
    <s v="Dining Out"/>
    <x v="1"/>
    <n v="-5"/>
    <x v="1"/>
    <x v="1"/>
    <x v="1"/>
    <n v="-5"/>
    <s v="Spenting"/>
  </r>
  <r>
    <x v="36"/>
    <x v="0"/>
    <s v="Cinemas"/>
    <s v="Entertainment"/>
    <s v="Discretionary"/>
    <x v="4"/>
    <n v="-40.9"/>
    <x v="4"/>
    <x v="1"/>
    <x v="28"/>
    <n v="-40.9"/>
    <s v="Spenting"/>
  </r>
  <r>
    <x v="36"/>
    <x v="0"/>
    <s v="Fashionistas"/>
    <s v="Clothes"/>
    <s v="Discretionary"/>
    <x v="5"/>
    <n v="-99"/>
    <x v="1"/>
    <x v="1"/>
    <x v="29"/>
    <n v="-99"/>
    <s v="Spenting"/>
  </r>
  <r>
    <x v="36"/>
    <x v="0"/>
    <s v="Burger"/>
    <s v="Restaurant"/>
    <s v="Dining Out"/>
    <x v="1"/>
    <n v="-53"/>
    <x v="1"/>
    <x v="1"/>
    <x v="30"/>
    <n v="-53"/>
    <s v="Spenting"/>
  </r>
  <r>
    <x v="37"/>
    <x v="0"/>
    <s v="Uba"/>
    <s v="Taxi"/>
    <s v="Transport"/>
    <x v="6"/>
    <n v="-28.9"/>
    <x v="4"/>
    <x v="1"/>
    <x v="31"/>
    <n v="-28.9"/>
    <s v="Spenting"/>
  </r>
  <r>
    <x v="38"/>
    <x v="0"/>
    <s v="Onlne earning"/>
    <s v="YouTube"/>
    <s v="Passive"/>
    <x v="7"/>
    <n v="800"/>
    <x v="0"/>
    <x v="3"/>
    <x v="0"/>
    <n v="800"/>
    <s v="Saving"/>
  </r>
  <r>
    <x v="38"/>
    <x v="0"/>
    <s v="Drink"/>
    <s v="Coffee"/>
    <s v="Dining Out"/>
    <x v="1"/>
    <n v="-5"/>
    <x v="1"/>
    <x v="1"/>
    <x v="1"/>
    <n v="-5"/>
    <s v="Spenting"/>
  </r>
  <r>
    <x v="39"/>
    <x v="0"/>
    <s v="Drink"/>
    <s v="Coffee"/>
    <s v="Dining Out"/>
    <x v="1"/>
    <n v="-5"/>
    <x v="1"/>
    <x v="1"/>
    <x v="1"/>
    <n v="-5"/>
    <s v="Spenting"/>
  </r>
  <r>
    <x v="39"/>
    <x v="0"/>
    <s v="Phone"/>
    <s v="Phone"/>
    <s v="Living Expenses"/>
    <x v="8"/>
    <n v="-40"/>
    <x v="2"/>
    <x v="1"/>
    <x v="8"/>
    <n v="-40"/>
    <s v="Spenting"/>
  </r>
  <r>
    <x v="40"/>
    <x v="0"/>
    <s v="Sallah give away"/>
    <s v="Gifts"/>
    <s v="Discretionary"/>
    <x v="5"/>
    <n v="-45.9"/>
    <x v="1"/>
    <x v="1"/>
    <x v="32"/>
    <n v="-45.9"/>
    <s v="Spenting"/>
  </r>
  <r>
    <x v="40"/>
    <x v="0"/>
    <s v="Online streaming"/>
    <s v="Entertainment"/>
    <s v="Discretionary"/>
    <x v="4"/>
    <n v="-35"/>
    <x v="4"/>
    <x v="1"/>
    <x v="33"/>
    <n v="-35"/>
    <s v="Spenting"/>
  </r>
  <r>
    <x v="40"/>
    <x v="0"/>
    <s v="Drink"/>
    <s v="Coffee"/>
    <s v="Dining Out"/>
    <x v="1"/>
    <n v="-5"/>
    <x v="1"/>
    <x v="1"/>
    <x v="1"/>
    <n v="-5"/>
    <s v="Spenting"/>
  </r>
  <r>
    <x v="41"/>
    <x v="0"/>
    <s v="Drink"/>
    <s v="Coffee"/>
    <s v="Dining Out"/>
    <x v="1"/>
    <n v="-5"/>
    <x v="1"/>
    <x v="1"/>
    <x v="1"/>
    <n v="-5"/>
    <s v="Spenting"/>
  </r>
  <r>
    <x v="42"/>
    <x v="0"/>
    <s v="Drink"/>
    <s v="Coffee"/>
    <s v="Dining Out"/>
    <x v="1"/>
    <n v="-5"/>
    <x v="1"/>
    <x v="1"/>
    <x v="1"/>
    <n v="-5"/>
    <s v="Spenting"/>
  </r>
  <r>
    <x v="42"/>
    <x v="0"/>
    <s v="Green's"/>
    <s v="Groceries"/>
    <s v="Living Expenses"/>
    <x v="1"/>
    <n v="-171"/>
    <x v="1"/>
    <x v="1"/>
    <x v="34"/>
    <n v="-171"/>
    <s v="Spenting"/>
  </r>
  <r>
    <x v="43"/>
    <x v="0"/>
    <s v="Suya"/>
    <s v="Restaurant"/>
    <s v="Dining Out"/>
    <x v="1"/>
    <n v="-37.9"/>
    <x v="1"/>
    <x v="1"/>
    <x v="35"/>
    <n v="-37.9"/>
    <s v="Spenting"/>
  </r>
  <r>
    <x v="44"/>
    <x v="0"/>
    <s v="Oha soup/White soup"/>
    <s v="Restaurant"/>
    <s v="Dining Out"/>
    <x v="1"/>
    <n v="-12.9"/>
    <x v="1"/>
    <x v="1"/>
    <x v="36"/>
    <n v="-12.9"/>
    <s v="Spenting"/>
  </r>
  <r>
    <x v="45"/>
    <x v="0"/>
    <s v="Orphanage"/>
    <s v="Donation"/>
    <s v="Charity"/>
    <x v="5"/>
    <n v="-55"/>
    <x v="1"/>
    <x v="1"/>
    <x v="17"/>
    <n v="-55"/>
    <s v="Spenting"/>
  </r>
  <r>
    <x v="45"/>
    <x v="0"/>
    <s v="Fuel"/>
    <s v="Fueling"/>
    <s v="Transport"/>
    <x v="6"/>
    <n v="-64.099999999999994"/>
    <x v="4"/>
    <x v="1"/>
    <x v="37"/>
    <n v="-64.099999999999994"/>
    <s v="Spenting"/>
  </r>
  <r>
    <x v="45"/>
    <x v="0"/>
    <s v="Drink"/>
    <s v="Coffee"/>
    <s v="Dining Out"/>
    <x v="1"/>
    <n v="-5"/>
    <x v="1"/>
    <x v="1"/>
    <x v="1"/>
    <n v="-5"/>
    <s v="Spenting"/>
  </r>
  <r>
    <x v="46"/>
    <x v="0"/>
    <s v="Drink"/>
    <s v="Coffee"/>
    <s v="Dining Out"/>
    <x v="1"/>
    <n v="-5"/>
    <x v="1"/>
    <x v="1"/>
    <x v="1"/>
    <n v="-5"/>
    <s v="Spenting"/>
  </r>
  <r>
    <x v="47"/>
    <x v="0"/>
    <s v="Drink"/>
    <s v="Coffee"/>
    <s v="Dining Out"/>
    <x v="1"/>
    <n v="-5"/>
    <x v="1"/>
    <x v="1"/>
    <x v="1"/>
    <n v="-5"/>
    <s v="Spenting"/>
  </r>
  <r>
    <x v="48"/>
    <x v="0"/>
    <s v="Drink"/>
    <s v="Coffee"/>
    <s v="Dining Out"/>
    <x v="1"/>
    <n v="-5"/>
    <x v="1"/>
    <x v="1"/>
    <x v="1"/>
    <n v="-5"/>
    <s v="Spenting"/>
  </r>
  <r>
    <x v="49"/>
    <x v="0"/>
    <s v="Drink"/>
    <s v="Coffee"/>
    <s v="Dining Out"/>
    <x v="1"/>
    <n v="-5"/>
    <x v="1"/>
    <x v="1"/>
    <x v="1"/>
    <n v="-5"/>
    <s v="Spenting"/>
  </r>
  <r>
    <x v="49"/>
    <x v="0"/>
    <s v="Green's"/>
    <s v="Groceries"/>
    <s v="Living Expenses"/>
    <x v="1"/>
    <n v="-162.9"/>
    <x v="1"/>
    <x v="1"/>
    <x v="38"/>
    <n v="-162.9"/>
    <s v="Spenting"/>
  </r>
  <r>
    <x v="50"/>
    <x v="0"/>
    <s v="Trainers"/>
    <s v="Clothes"/>
    <s v="Discretionary"/>
    <x v="5"/>
    <n v="-125.9"/>
    <x v="1"/>
    <x v="1"/>
    <x v="39"/>
    <n v="-125.9"/>
    <s v="Spenting"/>
  </r>
  <r>
    <x v="50"/>
    <x v="0"/>
    <s v="Global Fashion"/>
    <s v="Clothes"/>
    <s v="Discretionary"/>
    <x v="5"/>
    <n v="-137"/>
    <x v="1"/>
    <x v="1"/>
    <x v="40"/>
    <n v="-137"/>
    <s v="Spenting"/>
  </r>
  <r>
    <x v="51"/>
    <x v="0"/>
    <s v="Fashionistas"/>
    <s v="Clothes"/>
    <s v="Discretionary"/>
    <x v="5"/>
    <n v="-146.1"/>
    <x v="1"/>
    <x v="1"/>
    <x v="41"/>
    <n v="-146.1"/>
    <s v="Spenting"/>
  </r>
  <r>
    <x v="51"/>
    <x v="0"/>
    <s v="Uba"/>
    <s v="Taxi"/>
    <s v="Transport"/>
    <x v="6"/>
    <n v="-24.1"/>
    <x v="4"/>
    <x v="1"/>
    <x v="42"/>
    <n v="-24.1"/>
    <s v="Spenting"/>
  </r>
  <r>
    <x v="52"/>
    <x v="0"/>
    <s v="Data With Decision"/>
    <s v="Data with Decision"/>
    <s v="Salary"/>
    <x v="0"/>
    <n v="5000"/>
    <x v="0"/>
    <x v="0"/>
    <x v="0"/>
    <n v="5000"/>
    <s v="Saving"/>
  </r>
  <r>
    <x v="52"/>
    <x v="0"/>
    <s v="Drink"/>
    <s v="Coffee"/>
    <s v="Dining Out"/>
    <x v="1"/>
    <n v="-5"/>
    <x v="1"/>
    <x v="1"/>
    <x v="1"/>
    <n v="-5"/>
    <s v="Spenting"/>
  </r>
  <r>
    <x v="53"/>
    <x v="0"/>
    <s v="Estate Mangement"/>
    <s v="Rent"/>
    <s v="Living Expenses"/>
    <x v="2"/>
    <n v="-900"/>
    <x v="2"/>
    <x v="1"/>
    <x v="2"/>
    <n v="-900"/>
    <s v="Spenting"/>
  </r>
  <r>
    <x v="53"/>
    <x v="0"/>
    <s v="Financail upgrade"/>
    <s v="Cash loan"/>
    <s v="Transport"/>
    <x v="3"/>
    <n v="-150"/>
    <x v="3"/>
    <x v="1"/>
    <x v="3"/>
    <n v="-150"/>
    <s v="Spenting"/>
  </r>
  <r>
    <x v="53"/>
    <x v="0"/>
    <s v="Drink"/>
    <s v="Coffee"/>
    <s v="Dining Out"/>
    <x v="1"/>
    <n v="-5"/>
    <x v="1"/>
    <x v="1"/>
    <x v="1"/>
    <n v="-5"/>
    <s v="Spenting"/>
  </r>
  <r>
    <x v="54"/>
    <x v="0"/>
    <s v="Drink"/>
    <s v="Coffee"/>
    <s v="Dining Out"/>
    <x v="1"/>
    <n v="-5"/>
    <x v="1"/>
    <x v="1"/>
    <x v="1"/>
    <n v="-5"/>
    <s v="Spenting"/>
  </r>
  <r>
    <x v="55"/>
    <x v="0"/>
    <s v="Drink"/>
    <s v="Coffee"/>
    <s v="Dining Out"/>
    <x v="1"/>
    <n v="-5"/>
    <x v="1"/>
    <x v="1"/>
    <x v="1"/>
    <n v="-5"/>
    <s v="Spenting"/>
  </r>
  <r>
    <x v="56"/>
    <x v="0"/>
    <s v="Drink"/>
    <s v="Coffee"/>
    <s v="Dining Out"/>
    <x v="1"/>
    <n v="-5"/>
    <x v="1"/>
    <x v="1"/>
    <x v="1"/>
    <n v="-5"/>
    <s v="Spenting"/>
  </r>
  <r>
    <x v="56"/>
    <x v="0"/>
    <s v="Green's"/>
    <s v="Groceries"/>
    <s v="Living Expenses"/>
    <x v="1"/>
    <n v="-149"/>
    <x v="1"/>
    <x v="1"/>
    <x v="43"/>
    <n v="-149"/>
    <s v="Spenting"/>
  </r>
  <r>
    <x v="57"/>
    <x v="0"/>
    <s v="Power source"/>
    <s v="Gas/Electrics"/>
    <s v="Living Expenses"/>
    <x v="1"/>
    <n v="-52.1"/>
    <x v="1"/>
    <x v="1"/>
    <x v="44"/>
    <n v="-52.1"/>
    <s v="Spenting"/>
  </r>
  <r>
    <x v="57"/>
    <x v="0"/>
    <s v="Drink"/>
    <s v="Coffee"/>
    <s v="Dining Out"/>
    <x v="1"/>
    <n v="-5"/>
    <x v="1"/>
    <x v="1"/>
    <x v="1"/>
    <n v="-5"/>
    <s v="Spenting"/>
  </r>
  <r>
    <x v="58"/>
    <x v="0"/>
    <s v="Drink"/>
    <s v="Coffee"/>
    <s v="Dining Out"/>
    <x v="1"/>
    <n v="-5"/>
    <x v="1"/>
    <x v="1"/>
    <x v="1"/>
    <n v="-5"/>
    <s v="Spenting"/>
  </r>
  <r>
    <x v="59"/>
    <x v="0"/>
    <s v="Fuel"/>
    <s v="Fueling"/>
    <s v="Transport"/>
    <x v="6"/>
    <n v="-78.900000000000006"/>
    <x v="4"/>
    <x v="1"/>
    <x v="45"/>
    <n v="-78.900000000000006"/>
    <s v="Spenting"/>
  </r>
  <r>
    <x v="59"/>
    <x v="0"/>
    <s v="Drink"/>
    <s v="Coffee"/>
    <s v="Dining Out"/>
    <x v="1"/>
    <n v="-5"/>
    <x v="1"/>
    <x v="1"/>
    <x v="1"/>
    <n v="-5"/>
    <s v="Spenting"/>
  </r>
  <r>
    <x v="60"/>
    <x v="0"/>
    <s v="Drink"/>
    <s v="Coffee"/>
    <s v="Dining Out"/>
    <x v="1"/>
    <n v="-5"/>
    <x v="1"/>
    <x v="1"/>
    <x v="1"/>
    <n v="-5"/>
    <s v="Spenting"/>
  </r>
  <r>
    <x v="61"/>
    <x v="0"/>
    <s v="Green's"/>
    <s v="Groceries"/>
    <s v="Living Expenses"/>
    <x v="1"/>
    <n v="-137"/>
    <x v="1"/>
    <x v="1"/>
    <x v="40"/>
    <n v="-137"/>
    <s v="Spenting"/>
  </r>
  <r>
    <x v="61"/>
    <x v="0"/>
    <s v="Drink"/>
    <s v="Coffee"/>
    <s v="Dining Out"/>
    <x v="1"/>
    <n v="-5"/>
    <x v="1"/>
    <x v="1"/>
    <x v="1"/>
    <n v="-5"/>
    <s v="Spenting"/>
  </r>
  <r>
    <x v="62"/>
    <x v="0"/>
    <s v="Drink"/>
    <s v="Coffee"/>
    <s v="Dining Out"/>
    <x v="1"/>
    <n v="-5"/>
    <x v="1"/>
    <x v="1"/>
    <x v="1"/>
    <n v="-5"/>
    <s v="Spenting"/>
  </r>
  <r>
    <x v="62"/>
    <x v="0"/>
    <s v="Cinemas"/>
    <s v="Entertainment"/>
    <s v="Discretionary"/>
    <x v="4"/>
    <n v="-41.8"/>
    <x v="4"/>
    <x v="1"/>
    <x v="46"/>
    <n v="-41.8"/>
    <s v="Spenting"/>
  </r>
  <r>
    <x v="62"/>
    <x v="0"/>
    <s v="Fashionistas"/>
    <s v="Clothes"/>
    <s v="Discretionary"/>
    <x v="5"/>
    <n v="-99.9"/>
    <x v="1"/>
    <x v="1"/>
    <x v="47"/>
    <n v="-99.9"/>
    <s v="Spenting"/>
  </r>
  <r>
    <x v="62"/>
    <x v="0"/>
    <s v="Burger"/>
    <s v="Restaurant"/>
    <s v="Dining Out"/>
    <x v="1"/>
    <n v="-54"/>
    <x v="1"/>
    <x v="1"/>
    <x v="48"/>
    <n v="-54"/>
    <s v="Spenting"/>
  </r>
  <r>
    <x v="63"/>
    <x v="0"/>
    <s v="Uba"/>
    <s v="Taxi"/>
    <s v="Transport"/>
    <x v="6"/>
    <n v="-30"/>
    <x v="4"/>
    <x v="1"/>
    <x v="49"/>
    <n v="-30"/>
    <s v="Spenting"/>
  </r>
  <r>
    <x v="64"/>
    <x v="0"/>
    <s v="Onlne earning"/>
    <s v="YouTube"/>
    <s v="Passive"/>
    <x v="7"/>
    <n v="1000"/>
    <x v="0"/>
    <x v="4"/>
    <x v="0"/>
    <n v="1000"/>
    <s v="Saving"/>
  </r>
  <r>
    <x v="64"/>
    <x v="0"/>
    <s v="Drink"/>
    <s v="Coffee"/>
    <s v="Dining Out"/>
    <x v="1"/>
    <n v="-5"/>
    <x v="1"/>
    <x v="1"/>
    <x v="1"/>
    <n v="-5"/>
    <s v="Spenting"/>
  </r>
  <r>
    <x v="65"/>
    <x v="0"/>
    <s v="Drink"/>
    <s v="Coffee"/>
    <s v="Dining Out"/>
    <x v="1"/>
    <n v="-5"/>
    <x v="1"/>
    <x v="1"/>
    <x v="1"/>
    <n v="-5"/>
    <s v="Spenting"/>
  </r>
  <r>
    <x v="65"/>
    <x v="0"/>
    <s v="Taken medication"/>
    <s v="Doctor"/>
    <s v="Medical"/>
    <x v="9"/>
    <n v="-75"/>
    <x v="4"/>
    <x v="1"/>
    <x v="50"/>
    <n v="-75"/>
    <s v="Spenting"/>
  </r>
  <r>
    <x v="65"/>
    <x v="0"/>
    <s v="Phone"/>
    <s v="Phone"/>
    <s v="Living Expenses"/>
    <x v="8"/>
    <n v="-40"/>
    <x v="2"/>
    <x v="1"/>
    <x v="8"/>
    <n v="-40"/>
    <s v="Spenting"/>
  </r>
  <r>
    <x v="66"/>
    <x v="0"/>
    <s v="Sallah give away"/>
    <s v="Gifts"/>
    <s v="Discretionary"/>
    <x v="5"/>
    <n v="-46.8"/>
    <x v="1"/>
    <x v="1"/>
    <x v="51"/>
    <n v="-46.8"/>
    <s v="Spenting"/>
  </r>
  <r>
    <x v="66"/>
    <x v="0"/>
    <s v="Online streaming"/>
    <s v="Entertainment"/>
    <s v="Discretionary"/>
    <x v="4"/>
    <n v="-35"/>
    <x v="4"/>
    <x v="1"/>
    <x v="33"/>
    <n v="-35"/>
    <s v="Spenting"/>
  </r>
  <r>
    <x v="66"/>
    <x v="0"/>
    <s v="Drink"/>
    <s v="Coffee"/>
    <s v="Dining Out"/>
    <x v="1"/>
    <n v="-5"/>
    <x v="1"/>
    <x v="1"/>
    <x v="1"/>
    <n v="-5"/>
    <s v="Spenting"/>
  </r>
  <r>
    <x v="67"/>
    <x v="0"/>
    <s v="Drink"/>
    <s v="Coffee"/>
    <s v="Dining Out"/>
    <x v="1"/>
    <n v="-5"/>
    <x v="1"/>
    <x v="1"/>
    <x v="1"/>
    <n v="-5"/>
    <s v="Spenting"/>
  </r>
  <r>
    <x v="68"/>
    <x v="0"/>
    <s v="Drink"/>
    <s v="Coffee"/>
    <s v="Dining Out"/>
    <x v="1"/>
    <n v="-5"/>
    <x v="1"/>
    <x v="1"/>
    <x v="1"/>
    <n v="-5"/>
    <s v="Spenting"/>
  </r>
  <r>
    <x v="68"/>
    <x v="0"/>
    <s v="Green's"/>
    <s v="Groceries"/>
    <s v="Living Expenses"/>
    <x v="1"/>
    <n v="-171.9"/>
    <x v="1"/>
    <x v="1"/>
    <x v="52"/>
    <n v="-171.9"/>
    <s v="Spenting"/>
  </r>
  <r>
    <x v="69"/>
    <x v="0"/>
    <s v="Suya"/>
    <s v="Restaurant"/>
    <s v="Dining Out"/>
    <x v="1"/>
    <n v="-39"/>
    <x v="1"/>
    <x v="1"/>
    <x v="53"/>
    <n v="-39"/>
    <s v="Spenting"/>
  </r>
  <r>
    <x v="70"/>
    <x v="0"/>
    <s v="Oha soup/White soup"/>
    <s v="Restaurant"/>
    <s v="Dining Out"/>
    <x v="1"/>
    <n v="-14"/>
    <x v="1"/>
    <x v="1"/>
    <x v="54"/>
    <n v="-14"/>
    <s v="Spenting"/>
  </r>
  <r>
    <x v="71"/>
    <x v="0"/>
    <s v="Orphanage"/>
    <s v="Donation"/>
    <s v="Charity"/>
    <x v="5"/>
    <n v="-55"/>
    <x v="1"/>
    <x v="1"/>
    <x v="17"/>
    <n v="-55"/>
    <s v="Spenting"/>
  </r>
  <r>
    <x v="71"/>
    <x v="0"/>
    <s v="Fuel"/>
    <s v="Fueling"/>
    <s v="Transport"/>
    <x v="6"/>
    <n v="-65"/>
    <x v="4"/>
    <x v="1"/>
    <x v="55"/>
    <n v="-65"/>
    <s v="Spenting"/>
  </r>
  <r>
    <x v="71"/>
    <x v="0"/>
    <s v="Drink"/>
    <s v="Coffee"/>
    <s v="Dining Out"/>
    <x v="1"/>
    <n v="-5"/>
    <x v="1"/>
    <x v="1"/>
    <x v="1"/>
    <n v="-5"/>
    <s v="Spenting"/>
  </r>
  <r>
    <x v="72"/>
    <x v="0"/>
    <s v="Drink"/>
    <s v="Coffee"/>
    <s v="Dining Out"/>
    <x v="1"/>
    <n v="-5"/>
    <x v="1"/>
    <x v="1"/>
    <x v="1"/>
    <n v="-5"/>
    <s v="Spenting"/>
  </r>
  <r>
    <x v="73"/>
    <x v="0"/>
    <s v="Drink"/>
    <s v="Coffee"/>
    <s v="Dining Out"/>
    <x v="1"/>
    <n v="-5"/>
    <x v="1"/>
    <x v="1"/>
    <x v="1"/>
    <n v="-5"/>
    <s v="Spenting"/>
  </r>
  <r>
    <x v="74"/>
    <x v="0"/>
    <s v="Drink"/>
    <s v="Coffee"/>
    <s v="Dining Out"/>
    <x v="1"/>
    <n v="-5"/>
    <x v="1"/>
    <x v="1"/>
    <x v="1"/>
    <n v="-5"/>
    <s v="Spenting"/>
  </r>
  <r>
    <x v="75"/>
    <x v="0"/>
    <s v="Drink"/>
    <s v="Coffee"/>
    <s v="Dining Out"/>
    <x v="1"/>
    <n v="-5"/>
    <x v="1"/>
    <x v="1"/>
    <x v="1"/>
    <n v="-5"/>
    <s v="Spenting"/>
  </r>
  <r>
    <x v="75"/>
    <x v="0"/>
    <s v="Green's"/>
    <s v="Groceries"/>
    <s v="Living Expenses"/>
    <x v="1"/>
    <n v="-209"/>
    <x v="1"/>
    <x v="1"/>
    <x v="56"/>
    <n v="-209"/>
    <s v="Spenting"/>
  </r>
  <r>
    <x v="76"/>
    <x v="0"/>
    <s v="Trainers"/>
    <s v="Clothes"/>
    <s v="Discretionary"/>
    <x v="5"/>
    <n v="-127"/>
    <x v="1"/>
    <x v="1"/>
    <x v="57"/>
    <n v="-127"/>
    <s v="Spenting"/>
  </r>
  <r>
    <x v="76"/>
    <x v="0"/>
    <s v="Sport ware"/>
    <s v="Clothes"/>
    <s v="Discretionary"/>
    <x v="5"/>
    <n v="-177.2"/>
    <x v="1"/>
    <x v="1"/>
    <x v="58"/>
    <n v="-177.2"/>
    <s v="Spenting"/>
  </r>
  <r>
    <x v="77"/>
    <x v="0"/>
    <s v="Fashionistas"/>
    <s v="Clothes"/>
    <s v="Discretionary"/>
    <x v="5"/>
    <n v="-147.1"/>
    <x v="1"/>
    <x v="1"/>
    <x v="59"/>
    <n v="-147.1"/>
    <s v="Spenting"/>
  </r>
  <r>
    <x v="77"/>
    <x v="0"/>
    <s v="Uba"/>
    <s v="Taxi"/>
    <s v="Transport"/>
    <x v="6"/>
    <n v="-25"/>
    <x v="4"/>
    <x v="1"/>
    <x v="60"/>
    <n v="-25"/>
    <s v="Spenting"/>
  </r>
  <r>
    <x v="78"/>
    <x v="0"/>
    <s v="Foodary"/>
    <s v="Restaurant"/>
    <s v="Dining Out"/>
    <x v="1"/>
    <n v="-15"/>
    <x v="1"/>
    <x v="1"/>
    <x v="61"/>
    <n v="-15"/>
    <s v="Spenting"/>
  </r>
  <r>
    <x v="79"/>
    <x v="0"/>
    <s v="Drink"/>
    <s v="Coffee"/>
    <s v="Dining Out"/>
    <x v="1"/>
    <n v="-5"/>
    <x v="1"/>
    <x v="1"/>
    <x v="1"/>
    <n v="-5"/>
    <s v="Spenting"/>
  </r>
  <r>
    <x v="80"/>
    <x v="0"/>
    <s v="Drink"/>
    <s v="Coffee"/>
    <s v="Dining Out"/>
    <x v="1"/>
    <n v="-5"/>
    <x v="1"/>
    <x v="1"/>
    <x v="1"/>
    <n v="-5"/>
    <s v="Spenting"/>
  </r>
  <r>
    <x v="81"/>
    <x v="0"/>
    <s v="Data With Decision"/>
    <s v="Data with Decision"/>
    <s v="Salary"/>
    <x v="0"/>
    <n v="5000"/>
    <x v="0"/>
    <x v="0"/>
    <x v="0"/>
    <n v="5000"/>
    <s v="Saving"/>
  </r>
  <r>
    <x v="81"/>
    <x v="0"/>
    <s v="Drink"/>
    <s v="Coffee"/>
    <s v="Dining Out"/>
    <x v="1"/>
    <n v="-5"/>
    <x v="1"/>
    <x v="1"/>
    <x v="1"/>
    <n v="-5"/>
    <s v="Spenting"/>
  </r>
  <r>
    <x v="82"/>
    <x v="0"/>
    <s v="Estate Mangement"/>
    <s v="Rent"/>
    <s v="Living Expenses"/>
    <x v="2"/>
    <n v="-900"/>
    <x v="2"/>
    <x v="1"/>
    <x v="2"/>
    <n v="-900"/>
    <s v="Spenting"/>
  </r>
  <r>
    <x v="82"/>
    <x v="0"/>
    <s v="Financail upgrade"/>
    <s v="Cash loan"/>
    <s v="Transport"/>
    <x v="3"/>
    <n v="-150"/>
    <x v="3"/>
    <x v="1"/>
    <x v="3"/>
    <n v="-150"/>
    <s v="Spenting"/>
  </r>
  <r>
    <x v="82"/>
    <x v="0"/>
    <s v="Drink"/>
    <s v="Coffee"/>
    <s v="Dining Out"/>
    <x v="1"/>
    <n v="-5"/>
    <x v="1"/>
    <x v="1"/>
    <x v="1"/>
    <n v="-5"/>
    <s v="Spenting"/>
  </r>
  <r>
    <x v="83"/>
    <x v="0"/>
    <s v="Drink"/>
    <s v="Coffee"/>
    <s v="Dining Out"/>
    <x v="1"/>
    <n v="-5"/>
    <x v="1"/>
    <x v="1"/>
    <x v="1"/>
    <n v="-5"/>
    <s v="Spenting"/>
  </r>
  <r>
    <x v="84"/>
    <x v="0"/>
    <s v="Drink"/>
    <s v="Coffee"/>
    <s v="Dining Out"/>
    <x v="1"/>
    <n v="-5"/>
    <x v="1"/>
    <x v="1"/>
    <x v="1"/>
    <n v="-5"/>
    <s v="Spenting"/>
  </r>
  <r>
    <x v="85"/>
    <x v="0"/>
    <s v="Drink"/>
    <s v="Coffee"/>
    <s v="Dining Out"/>
    <x v="1"/>
    <n v="-5"/>
    <x v="1"/>
    <x v="1"/>
    <x v="1"/>
    <n v="-5"/>
    <s v="Spenting"/>
  </r>
  <r>
    <x v="85"/>
    <x v="0"/>
    <s v="Green's"/>
    <s v="Groceries"/>
    <s v="Living Expenses"/>
    <x v="1"/>
    <n v="-158.19999999999999"/>
    <x v="1"/>
    <x v="1"/>
    <x v="62"/>
    <n v="-158.19999999999999"/>
    <s v="Spenting"/>
  </r>
  <r>
    <x v="86"/>
    <x v="0"/>
    <s v="Power source"/>
    <s v="Gas/Electrics"/>
    <s v="Living Expenses"/>
    <x v="1"/>
    <n v="-53.2"/>
    <x v="1"/>
    <x v="1"/>
    <x v="63"/>
    <n v="-53.2"/>
    <s v="Spenting"/>
  </r>
  <r>
    <x v="86"/>
    <x v="0"/>
    <s v="Drink"/>
    <s v="Coffee"/>
    <s v="Dining Out"/>
    <x v="1"/>
    <n v="-5"/>
    <x v="1"/>
    <x v="1"/>
    <x v="1"/>
    <n v="-5"/>
    <s v="Spenting"/>
  </r>
  <r>
    <x v="87"/>
    <x v="0"/>
    <s v="Drink"/>
    <s v="Coffee"/>
    <s v="Dining Out"/>
    <x v="1"/>
    <n v="-5"/>
    <x v="1"/>
    <x v="1"/>
    <x v="1"/>
    <n v="-5"/>
    <s v="Spenting"/>
  </r>
  <r>
    <x v="88"/>
    <x v="0"/>
    <s v="Fuel"/>
    <s v="Fueling"/>
    <s v="Transport"/>
    <x v="6"/>
    <n v="-79.900000000000006"/>
    <x v="4"/>
    <x v="1"/>
    <x v="64"/>
    <n v="-79.900000000000006"/>
    <s v="Spenting"/>
  </r>
  <r>
    <x v="88"/>
    <x v="0"/>
    <s v="Drink"/>
    <s v="Coffee"/>
    <s v="Dining Out"/>
    <x v="1"/>
    <n v="-5"/>
    <x v="1"/>
    <x v="1"/>
    <x v="1"/>
    <n v="-5"/>
    <s v="Spenting"/>
  </r>
  <r>
    <x v="89"/>
    <x v="0"/>
    <s v="Drink"/>
    <s v="Coffee"/>
    <s v="Dining Out"/>
    <x v="1"/>
    <n v="-5"/>
    <x v="1"/>
    <x v="1"/>
    <x v="1"/>
    <n v="-5"/>
    <s v="Spenting"/>
  </r>
  <r>
    <x v="90"/>
    <x v="0"/>
    <s v="Green's"/>
    <s v="Groceries"/>
    <s v="Living Expenses"/>
    <x v="1"/>
    <n v="-98"/>
    <x v="1"/>
    <x v="1"/>
    <x v="9"/>
    <n v="-98"/>
    <s v="Spenting"/>
  </r>
  <r>
    <x v="90"/>
    <x v="0"/>
    <s v="Drink"/>
    <s v="Coffee"/>
    <s v="Dining Out"/>
    <x v="1"/>
    <n v="-5"/>
    <x v="1"/>
    <x v="1"/>
    <x v="1"/>
    <n v="-5"/>
    <s v="Spenting"/>
  </r>
  <r>
    <x v="91"/>
    <x v="0"/>
    <s v="Drink"/>
    <s v="Coffee"/>
    <s v="Dining Out"/>
    <x v="1"/>
    <n v="-5"/>
    <x v="1"/>
    <x v="1"/>
    <x v="1"/>
    <n v="-5"/>
    <s v="Spenting"/>
  </r>
  <r>
    <x v="91"/>
    <x v="0"/>
    <s v="Cinemas"/>
    <s v="Entertainment"/>
    <s v="Discretionary"/>
    <x v="4"/>
    <n v="-42.8"/>
    <x v="4"/>
    <x v="1"/>
    <x v="65"/>
    <n v="-42.8"/>
    <s v="Spenting"/>
  </r>
  <r>
    <x v="91"/>
    <x v="0"/>
    <s v="Fashionistas"/>
    <s v="Clothes"/>
    <s v="Discretionary"/>
    <x v="5"/>
    <n v="-100.9"/>
    <x v="1"/>
    <x v="1"/>
    <x v="66"/>
    <n v="-100.9"/>
    <s v="Spenting"/>
  </r>
  <r>
    <x v="91"/>
    <x v="0"/>
    <s v="Burger"/>
    <s v="Restaurant"/>
    <s v="Dining Out"/>
    <x v="1"/>
    <n v="-54.9"/>
    <x v="1"/>
    <x v="1"/>
    <x v="67"/>
    <n v="-54.9"/>
    <s v="Spenting"/>
  </r>
  <r>
    <x v="92"/>
    <x v="0"/>
    <s v="Uba"/>
    <s v="Taxi"/>
    <s v="Transport"/>
    <x v="6"/>
    <n v="-31"/>
    <x v="4"/>
    <x v="1"/>
    <x v="68"/>
    <n v="-31"/>
    <s v="Spenting"/>
  </r>
  <r>
    <x v="93"/>
    <x v="0"/>
    <s v="Onlne earning"/>
    <s v="YouTube"/>
    <s v="Passive"/>
    <x v="7"/>
    <n v="2340"/>
    <x v="0"/>
    <x v="5"/>
    <x v="0"/>
    <n v="2340"/>
    <s v="Saving"/>
  </r>
  <r>
    <x v="93"/>
    <x v="0"/>
    <s v="Drink"/>
    <s v="Coffee"/>
    <s v="Dining Out"/>
    <x v="1"/>
    <n v="-5"/>
    <x v="1"/>
    <x v="1"/>
    <x v="1"/>
    <n v="-5"/>
    <s v="Spenting"/>
  </r>
  <r>
    <x v="94"/>
    <x v="0"/>
    <s v="Drink"/>
    <s v="Coffee"/>
    <s v="Dining Out"/>
    <x v="1"/>
    <n v="-5"/>
    <x v="1"/>
    <x v="1"/>
    <x v="1"/>
    <n v="-5"/>
    <s v="Spenting"/>
  </r>
  <r>
    <x v="94"/>
    <x v="0"/>
    <s v="Phone"/>
    <s v="Phone"/>
    <s v="Living Expenses"/>
    <x v="8"/>
    <n v="-40"/>
    <x v="2"/>
    <x v="1"/>
    <x v="8"/>
    <n v="-40"/>
    <s v="Spenting"/>
  </r>
  <r>
    <x v="95"/>
    <x v="0"/>
    <s v="Sallah give away"/>
    <s v="Gifts"/>
    <s v="Discretionary"/>
    <x v="5"/>
    <n v="-47.9"/>
    <x v="1"/>
    <x v="1"/>
    <x v="69"/>
    <n v="-47.9"/>
    <s v="Spenting"/>
  </r>
  <r>
    <x v="95"/>
    <x v="0"/>
    <s v="Online streaming"/>
    <s v="Entertainment"/>
    <s v="Discretionary"/>
    <x v="4"/>
    <n v="-35"/>
    <x v="4"/>
    <x v="1"/>
    <x v="33"/>
    <n v="-35"/>
    <s v="Spenting"/>
  </r>
  <r>
    <x v="95"/>
    <x v="0"/>
    <s v="Drink"/>
    <s v="Coffee"/>
    <s v="Dining Out"/>
    <x v="1"/>
    <n v="-5"/>
    <x v="1"/>
    <x v="1"/>
    <x v="1"/>
    <n v="-5"/>
    <s v="Spenting"/>
  </r>
  <r>
    <x v="96"/>
    <x v="0"/>
    <s v="Drink"/>
    <s v="Coffee"/>
    <s v="Dining Out"/>
    <x v="1"/>
    <n v="-5"/>
    <x v="1"/>
    <x v="1"/>
    <x v="1"/>
    <n v="-5"/>
    <s v="Spenting"/>
  </r>
  <r>
    <x v="97"/>
    <x v="0"/>
    <s v="Drink"/>
    <s v="Coffee"/>
    <s v="Dining Out"/>
    <x v="1"/>
    <n v="-5"/>
    <x v="1"/>
    <x v="1"/>
    <x v="1"/>
    <n v="-5"/>
    <s v="Spenting"/>
  </r>
  <r>
    <x v="97"/>
    <x v="0"/>
    <s v="Green's"/>
    <s v="Groceries"/>
    <s v="Living Expenses"/>
    <x v="1"/>
    <n v="-173"/>
    <x v="1"/>
    <x v="1"/>
    <x v="70"/>
    <n v="-173"/>
    <s v="Spenting"/>
  </r>
  <r>
    <x v="98"/>
    <x v="0"/>
    <s v="Suya"/>
    <s v="Restaurant"/>
    <s v="Dining Out"/>
    <x v="1"/>
    <n v="-40.1"/>
    <x v="1"/>
    <x v="1"/>
    <x v="71"/>
    <n v="-40.1"/>
    <s v="Spenting"/>
  </r>
  <r>
    <x v="99"/>
    <x v="0"/>
    <s v="Oha soup/White soup"/>
    <s v="Restaurant"/>
    <s v="Dining Out"/>
    <x v="1"/>
    <n v="-15.1"/>
    <x v="1"/>
    <x v="1"/>
    <x v="72"/>
    <n v="-15.1"/>
    <s v="Spenting"/>
  </r>
  <r>
    <x v="100"/>
    <x v="0"/>
    <s v="Orphanage"/>
    <s v="Donation"/>
    <s v="Charity"/>
    <x v="5"/>
    <n v="-55"/>
    <x v="1"/>
    <x v="1"/>
    <x v="17"/>
    <n v="-55"/>
    <s v="Spenting"/>
  </r>
  <r>
    <x v="100"/>
    <x v="0"/>
    <s v="Fuel"/>
    <s v="Fueling"/>
    <s v="Transport"/>
    <x v="6"/>
    <n v="-66"/>
    <x v="4"/>
    <x v="1"/>
    <x v="73"/>
    <n v="-66"/>
    <s v="Spenting"/>
  </r>
  <r>
    <x v="100"/>
    <x v="0"/>
    <s v="Drink"/>
    <s v="Coffee"/>
    <s v="Dining Out"/>
    <x v="1"/>
    <n v="-5"/>
    <x v="1"/>
    <x v="1"/>
    <x v="1"/>
    <n v="-5"/>
    <s v="Spenting"/>
  </r>
  <r>
    <x v="101"/>
    <x v="0"/>
    <s v="Drink"/>
    <s v="Coffee"/>
    <s v="Dining Out"/>
    <x v="1"/>
    <n v="-5"/>
    <x v="1"/>
    <x v="1"/>
    <x v="1"/>
    <n v="-5"/>
    <s v="Spenting"/>
  </r>
  <r>
    <x v="102"/>
    <x v="0"/>
    <s v="Drink"/>
    <s v="Coffee"/>
    <s v="Dining Out"/>
    <x v="1"/>
    <n v="-5"/>
    <x v="1"/>
    <x v="1"/>
    <x v="1"/>
    <n v="-5"/>
    <s v="Spenting"/>
  </r>
  <r>
    <x v="103"/>
    <x v="0"/>
    <s v="Drink"/>
    <s v="Coffee"/>
    <s v="Dining Out"/>
    <x v="1"/>
    <n v="-5"/>
    <x v="1"/>
    <x v="1"/>
    <x v="1"/>
    <n v="-5"/>
    <s v="Spenting"/>
  </r>
  <r>
    <x v="104"/>
    <x v="0"/>
    <s v="Drink"/>
    <s v="Coffee"/>
    <s v="Dining Out"/>
    <x v="1"/>
    <n v="-5"/>
    <x v="1"/>
    <x v="1"/>
    <x v="1"/>
    <n v="-5"/>
    <s v="Spenting"/>
  </r>
  <r>
    <x v="104"/>
    <x v="0"/>
    <s v="Green's"/>
    <s v="Groceries"/>
    <s v="Living Expenses"/>
    <x v="1"/>
    <n v="-164.9"/>
    <x v="1"/>
    <x v="1"/>
    <x v="74"/>
    <n v="-164.9"/>
    <s v="Spenting"/>
  </r>
  <r>
    <x v="105"/>
    <x v="0"/>
    <s v="Trainers"/>
    <s v="Clothes"/>
    <s v="Discretionary"/>
    <x v="5"/>
    <n v="-127.9"/>
    <x v="1"/>
    <x v="1"/>
    <x v="75"/>
    <n v="-127.9"/>
    <s v="Spenting"/>
  </r>
  <r>
    <x v="105"/>
    <x v="0"/>
    <s v="Clubing"/>
    <s v="Entertainment"/>
    <s v="Discretionary"/>
    <x v="4"/>
    <n v="-300"/>
    <x v="4"/>
    <x v="1"/>
    <x v="76"/>
    <n v="-300"/>
    <s v="Spenting"/>
  </r>
  <r>
    <x v="106"/>
    <x v="0"/>
    <s v="Fashionistas"/>
    <s v="Clothes"/>
    <s v="Discretionary"/>
    <x v="5"/>
    <n v="-148.1"/>
    <x v="1"/>
    <x v="1"/>
    <x v="77"/>
    <n v="-148.1"/>
    <s v="Spenting"/>
  </r>
  <r>
    <x v="106"/>
    <x v="0"/>
    <s v="Uba"/>
    <s v="Taxi"/>
    <s v="Transport"/>
    <x v="6"/>
    <n v="-26.1"/>
    <x v="4"/>
    <x v="1"/>
    <x v="78"/>
    <n v="-26.1"/>
    <s v="Spenting"/>
  </r>
  <r>
    <x v="107"/>
    <x v="0"/>
    <s v="Foodary"/>
    <s v="Restaurant"/>
    <s v="Dining Out"/>
    <x v="1"/>
    <n v="-15"/>
    <x v="1"/>
    <x v="1"/>
    <x v="61"/>
    <n v="-15"/>
    <s v="Spenting"/>
  </r>
  <r>
    <x v="107"/>
    <x v="0"/>
    <s v="Drink"/>
    <s v="Coffee"/>
    <s v="Dining Out"/>
    <x v="1"/>
    <n v="-5"/>
    <x v="1"/>
    <x v="1"/>
    <x v="1"/>
    <n v="-5"/>
    <s v="Spenting"/>
  </r>
  <r>
    <x v="108"/>
    <x v="0"/>
    <s v="Drink"/>
    <s v="Coffee"/>
    <s v="Dining Out"/>
    <x v="1"/>
    <n v="-5"/>
    <x v="1"/>
    <x v="1"/>
    <x v="1"/>
    <n v="-5"/>
    <s v="Spenting"/>
  </r>
  <r>
    <x v="109"/>
    <x v="0"/>
    <s v="Drink"/>
    <s v="Coffee"/>
    <s v="Dining Out"/>
    <x v="1"/>
    <n v="-5"/>
    <x v="1"/>
    <x v="1"/>
    <x v="1"/>
    <n v="-5"/>
    <s v="Spenting"/>
  </r>
  <r>
    <x v="110"/>
    <x v="0"/>
    <s v="Data With Decision"/>
    <s v="Data with Decision"/>
    <s v="Salary"/>
    <x v="0"/>
    <n v="5000"/>
    <x v="0"/>
    <x v="0"/>
    <x v="0"/>
    <n v="5000"/>
    <s v="Saving"/>
  </r>
  <r>
    <x v="110"/>
    <x v="0"/>
    <s v="Estate Mangement"/>
    <s v="Rent"/>
    <s v="Living Expenses"/>
    <x v="2"/>
    <n v="-900"/>
    <x v="2"/>
    <x v="1"/>
    <x v="2"/>
    <n v="-900"/>
    <s v="Spenting"/>
  </r>
  <r>
    <x v="110"/>
    <x v="0"/>
    <s v="Financail upgrade"/>
    <s v="Cash loan"/>
    <s v="Transport"/>
    <x v="3"/>
    <n v="-150"/>
    <x v="3"/>
    <x v="1"/>
    <x v="3"/>
    <n v="-150"/>
    <s v="Spenting"/>
  </r>
  <r>
    <x v="110"/>
    <x v="0"/>
    <s v="Drink"/>
    <s v="Coffee"/>
    <s v="Dining Out"/>
    <x v="1"/>
    <n v="-5"/>
    <x v="1"/>
    <x v="1"/>
    <x v="1"/>
    <n v="-5"/>
    <s v="Spenting"/>
  </r>
  <r>
    <x v="111"/>
    <x v="0"/>
    <s v="Drink"/>
    <s v="Coffee"/>
    <s v="Dining Out"/>
    <x v="1"/>
    <n v="-5"/>
    <x v="1"/>
    <x v="1"/>
    <x v="1"/>
    <n v="-5"/>
    <s v="Spenting"/>
  </r>
  <r>
    <x v="112"/>
    <x v="0"/>
    <s v="Drink"/>
    <s v="Coffee"/>
    <s v="Dining Out"/>
    <x v="1"/>
    <n v="-5"/>
    <x v="1"/>
    <x v="1"/>
    <x v="1"/>
    <n v="-5"/>
    <s v="Spenting"/>
  </r>
  <r>
    <x v="113"/>
    <x v="0"/>
    <s v="Drink"/>
    <s v="Coffee"/>
    <s v="Dining Out"/>
    <x v="1"/>
    <n v="-5"/>
    <x v="1"/>
    <x v="1"/>
    <x v="1"/>
    <n v="-5"/>
    <s v="Spenting"/>
  </r>
  <r>
    <x v="113"/>
    <x v="0"/>
    <s v="Green's"/>
    <s v="Groceries"/>
    <s v="Living Expenses"/>
    <x v="1"/>
    <n v="-170"/>
    <x v="1"/>
    <x v="1"/>
    <x v="14"/>
    <n v="-170"/>
    <s v="Spenting"/>
  </r>
  <r>
    <x v="114"/>
    <x v="0"/>
    <s v="Power source"/>
    <s v="Gas/Electrics"/>
    <s v="Living Expenses"/>
    <x v="1"/>
    <n v="-54.1"/>
    <x v="1"/>
    <x v="1"/>
    <x v="79"/>
    <n v="-54.1"/>
    <s v="Spenting"/>
  </r>
  <r>
    <x v="114"/>
    <x v="0"/>
    <s v="Drink"/>
    <s v="Coffee"/>
    <s v="Dining Out"/>
    <x v="1"/>
    <n v="-5"/>
    <x v="1"/>
    <x v="1"/>
    <x v="1"/>
    <n v="-5"/>
    <s v="Spenting"/>
  </r>
  <r>
    <x v="115"/>
    <x v="0"/>
    <s v="Drink"/>
    <s v="Coffee"/>
    <s v="Dining Out"/>
    <x v="1"/>
    <n v="-5"/>
    <x v="1"/>
    <x v="1"/>
    <x v="1"/>
    <n v="-5"/>
    <s v="Spenting"/>
  </r>
  <r>
    <x v="116"/>
    <x v="0"/>
    <s v="Fuel"/>
    <s v="Fueling"/>
    <s v="Transport"/>
    <x v="6"/>
    <n v="-81"/>
    <x v="4"/>
    <x v="1"/>
    <x v="80"/>
    <n v="-81"/>
    <s v="Spenting"/>
  </r>
  <r>
    <x v="116"/>
    <x v="0"/>
    <s v="Drink"/>
    <s v="Coffee"/>
    <s v="Dining Out"/>
    <x v="1"/>
    <n v="-5"/>
    <x v="1"/>
    <x v="1"/>
    <x v="1"/>
    <n v="-5"/>
    <s v="Spenting"/>
  </r>
  <r>
    <x v="117"/>
    <x v="0"/>
    <s v="Drink"/>
    <s v="Coffee"/>
    <s v="Dining Out"/>
    <x v="1"/>
    <n v="-5"/>
    <x v="1"/>
    <x v="1"/>
    <x v="1"/>
    <n v="-5"/>
    <s v="Spenting"/>
  </r>
  <r>
    <x v="118"/>
    <x v="0"/>
    <s v="Green's"/>
    <s v="Groceries"/>
    <s v="Living Expenses"/>
    <x v="1"/>
    <n v="-139.1"/>
    <x v="1"/>
    <x v="1"/>
    <x v="81"/>
    <n v="-139.1"/>
    <s v="Spenting"/>
  </r>
  <r>
    <x v="118"/>
    <x v="0"/>
    <s v="Drink"/>
    <s v="Coffee"/>
    <s v="Dining Out"/>
    <x v="1"/>
    <n v="-5"/>
    <x v="1"/>
    <x v="1"/>
    <x v="1"/>
    <n v="-5"/>
    <s v="Spenting"/>
  </r>
  <r>
    <x v="119"/>
    <x v="0"/>
    <s v="Drink"/>
    <s v="Coffee"/>
    <s v="Dining Out"/>
    <x v="1"/>
    <n v="-5"/>
    <x v="1"/>
    <x v="1"/>
    <x v="1"/>
    <n v="-5"/>
    <s v="Spenting"/>
  </r>
  <r>
    <x v="119"/>
    <x v="0"/>
    <s v="Cinemas"/>
    <s v="Entertainment"/>
    <s v="Discretionary"/>
    <x v="4"/>
    <n v="-43.9"/>
    <x v="4"/>
    <x v="1"/>
    <x v="82"/>
    <n v="-43.9"/>
    <s v="Spenting"/>
  </r>
  <r>
    <x v="119"/>
    <x v="0"/>
    <s v="Fashionistas"/>
    <s v="Clothes"/>
    <s v="Discretionary"/>
    <x v="5"/>
    <n v="-101.80000000000001"/>
    <x v="1"/>
    <x v="1"/>
    <x v="83"/>
    <n v="-101.80000000000001"/>
    <s v="Spenting"/>
  </r>
  <r>
    <x v="119"/>
    <x v="0"/>
    <s v="Burger"/>
    <s v="Restaurant"/>
    <s v="Dining Out"/>
    <x v="1"/>
    <n v="-55.9"/>
    <x v="1"/>
    <x v="1"/>
    <x v="84"/>
    <n v="-55.9"/>
    <s v="Spenting"/>
  </r>
  <r>
    <x v="120"/>
    <x v="0"/>
    <s v="Uba"/>
    <s v="Taxi"/>
    <s v="Transport"/>
    <x v="6"/>
    <n v="-32"/>
    <x v="4"/>
    <x v="1"/>
    <x v="13"/>
    <n v="-32"/>
    <s v="Spenting"/>
  </r>
  <r>
    <x v="121"/>
    <x v="0"/>
    <s v="Onlne earning"/>
    <s v="YouTube"/>
    <s v="Passive"/>
    <x v="7"/>
    <n v="1000"/>
    <x v="0"/>
    <x v="4"/>
    <x v="0"/>
    <n v="1000"/>
    <s v="Saving"/>
  </r>
  <r>
    <x v="121"/>
    <x v="0"/>
    <s v="Drink"/>
    <s v="Coffee"/>
    <s v="Dining Out"/>
    <x v="1"/>
    <n v="-5"/>
    <x v="1"/>
    <x v="1"/>
    <x v="1"/>
    <n v="-5"/>
    <s v="Spenting"/>
  </r>
  <r>
    <x v="122"/>
    <x v="0"/>
    <s v="Drink"/>
    <s v="Coffee"/>
    <s v="Dining Out"/>
    <x v="1"/>
    <n v="-5"/>
    <x v="1"/>
    <x v="1"/>
    <x v="1"/>
    <n v="-5"/>
    <s v="Spenting"/>
  </r>
  <r>
    <x v="122"/>
    <x v="0"/>
    <s v="Taken medication"/>
    <s v="Doctor"/>
    <s v="Medical"/>
    <x v="9"/>
    <n v="-75"/>
    <x v="4"/>
    <x v="1"/>
    <x v="50"/>
    <n v="-75"/>
    <s v="Spenting"/>
  </r>
  <r>
    <x v="122"/>
    <x v="0"/>
    <s v="Phone"/>
    <s v="Phone"/>
    <s v="Living Expenses"/>
    <x v="8"/>
    <n v="-40"/>
    <x v="2"/>
    <x v="1"/>
    <x v="8"/>
    <n v="-40"/>
    <s v="Spenting"/>
  </r>
  <r>
    <x v="123"/>
    <x v="0"/>
    <s v="Sallah give away"/>
    <s v="Gifts"/>
    <s v="Discretionary"/>
    <x v="5"/>
    <n v="-49"/>
    <x v="1"/>
    <x v="1"/>
    <x v="85"/>
    <n v="-49"/>
    <s v="Spenting"/>
  </r>
  <r>
    <x v="123"/>
    <x v="0"/>
    <s v="Online streaming"/>
    <s v="Entertainment"/>
    <s v="Discretionary"/>
    <x v="4"/>
    <n v="-35"/>
    <x v="4"/>
    <x v="1"/>
    <x v="33"/>
    <n v="-35"/>
    <s v="Spenting"/>
  </r>
  <r>
    <x v="123"/>
    <x v="0"/>
    <s v="Drink"/>
    <s v="Coffee"/>
    <s v="Dining Out"/>
    <x v="1"/>
    <n v="-5"/>
    <x v="1"/>
    <x v="1"/>
    <x v="1"/>
    <n v="-5"/>
    <s v="Spenting"/>
  </r>
  <r>
    <x v="124"/>
    <x v="0"/>
    <s v="Drink"/>
    <s v="Coffee"/>
    <s v="Dining Out"/>
    <x v="1"/>
    <n v="-5"/>
    <x v="1"/>
    <x v="1"/>
    <x v="1"/>
    <n v="-5"/>
    <s v="Spenting"/>
  </r>
  <r>
    <x v="125"/>
    <x v="0"/>
    <s v="Drink"/>
    <s v="Coffee"/>
    <s v="Dining Out"/>
    <x v="1"/>
    <n v="-5"/>
    <x v="1"/>
    <x v="1"/>
    <x v="1"/>
    <n v="-5"/>
    <s v="Spenting"/>
  </r>
  <r>
    <x v="125"/>
    <x v="0"/>
    <s v="Green's"/>
    <s v="Groceries"/>
    <s v="Living Expenses"/>
    <x v="1"/>
    <n v="-174"/>
    <x v="1"/>
    <x v="1"/>
    <x v="86"/>
    <n v="-174"/>
    <s v="Spenting"/>
  </r>
  <r>
    <x v="126"/>
    <x v="0"/>
    <s v="Suya"/>
    <s v="Restaurant"/>
    <s v="Dining Out"/>
    <x v="1"/>
    <n v="-41.1"/>
    <x v="1"/>
    <x v="1"/>
    <x v="87"/>
    <n v="-41.1"/>
    <s v="Spenting"/>
  </r>
  <r>
    <x v="127"/>
    <x v="0"/>
    <s v="Oha soup/White soup"/>
    <s v="Restaurant"/>
    <s v="Dining Out"/>
    <x v="1"/>
    <n v="-16.2"/>
    <x v="1"/>
    <x v="1"/>
    <x v="88"/>
    <n v="-16.2"/>
    <s v="Spenting"/>
  </r>
  <r>
    <x v="128"/>
    <x v="0"/>
    <s v="Orphanage"/>
    <s v="Donation"/>
    <s v="Charity"/>
    <x v="5"/>
    <n v="-55"/>
    <x v="1"/>
    <x v="1"/>
    <x v="17"/>
    <n v="-55"/>
    <s v="Spenting"/>
  </r>
  <r>
    <x v="128"/>
    <x v="0"/>
    <s v="Fuel"/>
    <s v="Fueling"/>
    <s v="Transport"/>
    <x v="6"/>
    <n v="-67"/>
    <x v="4"/>
    <x v="1"/>
    <x v="89"/>
    <n v="-67"/>
    <s v="Spenting"/>
  </r>
  <r>
    <x v="128"/>
    <x v="0"/>
    <s v="Drink"/>
    <s v="Coffee"/>
    <s v="Dining Out"/>
    <x v="1"/>
    <n v="-5"/>
    <x v="1"/>
    <x v="1"/>
    <x v="1"/>
    <n v="-5"/>
    <s v="Spenting"/>
  </r>
  <r>
    <x v="129"/>
    <x v="0"/>
    <s v="Drink"/>
    <s v="Coffee"/>
    <s v="Dining Out"/>
    <x v="1"/>
    <n v="-5"/>
    <x v="1"/>
    <x v="1"/>
    <x v="1"/>
    <n v="-5"/>
    <s v="Spenting"/>
  </r>
  <r>
    <x v="130"/>
    <x v="0"/>
    <s v="Drink"/>
    <s v="Coffee"/>
    <s v="Dining Out"/>
    <x v="1"/>
    <n v="-5"/>
    <x v="1"/>
    <x v="1"/>
    <x v="1"/>
    <n v="-5"/>
    <s v="Spenting"/>
  </r>
  <r>
    <x v="131"/>
    <x v="0"/>
    <s v="Drink"/>
    <s v="Coffee"/>
    <s v="Dining Out"/>
    <x v="1"/>
    <n v="-5"/>
    <x v="1"/>
    <x v="1"/>
    <x v="1"/>
    <n v="-5"/>
    <s v="Spenting"/>
  </r>
  <r>
    <x v="132"/>
    <x v="0"/>
    <s v="Drink"/>
    <s v="Coffee"/>
    <s v="Dining Out"/>
    <x v="1"/>
    <n v="-5"/>
    <x v="1"/>
    <x v="1"/>
    <x v="1"/>
    <n v="-5"/>
    <s v="Spenting"/>
  </r>
  <r>
    <x v="132"/>
    <x v="0"/>
    <s v="Green's"/>
    <s v="Groceries"/>
    <s v="Living Expenses"/>
    <x v="1"/>
    <n v="-165.8"/>
    <x v="1"/>
    <x v="1"/>
    <x v="90"/>
    <n v="-165.8"/>
    <s v="Spenting"/>
  </r>
  <r>
    <x v="133"/>
    <x v="0"/>
    <s v="Trainers"/>
    <s v="Clothes"/>
    <s v="Discretionary"/>
    <x v="5"/>
    <n v="-128.80000000000001"/>
    <x v="1"/>
    <x v="1"/>
    <x v="91"/>
    <n v="-128.80000000000001"/>
    <s v="Spenting"/>
  </r>
  <r>
    <x v="133"/>
    <x v="0"/>
    <s v="Home décor"/>
    <s v="Furnishings"/>
    <s v="Discretionary"/>
    <x v="2"/>
    <n v="-235"/>
    <x v="2"/>
    <x v="1"/>
    <x v="92"/>
    <n v="-235"/>
    <s v="Spenting"/>
  </r>
  <r>
    <x v="134"/>
    <x v="0"/>
    <s v="Fashionistas"/>
    <s v="Clothes"/>
    <s v="Discretionary"/>
    <x v="5"/>
    <n v="-149.19999999999999"/>
    <x v="1"/>
    <x v="1"/>
    <x v="93"/>
    <n v="-149.19999999999999"/>
    <s v="Spenting"/>
  </r>
  <r>
    <x v="134"/>
    <x v="0"/>
    <s v="Uba"/>
    <s v="Taxi"/>
    <s v="Transport"/>
    <x v="6"/>
    <n v="-27.200000000000003"/>
    <x v="4"/>
    <x v="1"/>
    <x v="94"/>
    <n v="-27.200000000000003"/>
    <s v="Spenting"/>
  </r>
  <r>
    <x v="135"/>
    <x v="0"/>
    <s v="Foodary"/>
    <s v="Restaurant"/>
    <s v="Dining Out"/>
    <x v="1"/>
    <n v="-15"/>
    <x v="1"/>
    <x v="1"/>
    <x v="61"/>
    <n v="-15"/>
    <s v="Spenting"/>
  </r>
  <r>
    <x v="136"/>
    <x v="0"/>
    <s v="Drink"/>
    <s v="Coffee"/>
    <s v="Dining Out"/>
    <x v="1"/>
    <n v="-5"/>
    <x v="1"/>
    <x v="1"/>
    <x v="1"/>
    <n v="-5"/>
    <s v="Spenting"/>
  </r>
  <r>
    <x v="135"/>
    <x v="0"/>
    <s v="Drink"/>
    <s v="Coffee"/>
    <s v="Dining Out"/>
    <x v="1"/>
    <n v="-5"/>
    <x v="1"/>
    <x v="1"/>
    <x v="1"/>
    <n v="-5"/>
    <s v="Spenting"/>
  </r>
  <r>
    <x v="137"/>
    <x v="0"/>
    <s v="Data With Decision"/>
    <s v="Data with Decision"/>
    <s v="Salary"/>
    <x v="0"/>
    <n v="5000"/>
    <x v="0"/>
    <x v="0"/>
    <x v="0"/>
    <n v="5000"/>
    <s v="Saving"/>
  </r>
  <r>
    <x v="138"/>
    <x v="0"/>
    <s v="Drink"/>
    <s v="Coffee"/>
    <s v="Dining Out"/>
    <x v="1"/>
    <n v="-5"/>
    <x v="1"/>
    <x v="1"/>
    <x v="1"/>
    <n v="-5"/>
    <s v="Spenting"/>
  </r>
  <r>
    <x v="138"/>
    <x v="0"/>
    <s v="Estate Mangement"/>
    <s v="Rent"/>
    <s v="Living Expenses"/>
    <x v="2"/>
    <n v="-900"/>
    <x v="2"/>
    <x v="1"/>
    <x v="2"/>
    <n v="-900"/>
    <s v="Spenting"/>
  </r>
  <r>
    <x v="138"/>
    <x v="0"/>
    <s v="Financail upgrade"/>
    <s v="Cash loan"/>
    <s v="Transport"/>
    <x v="3"/>
    <n v="-150"/>
    <x v="3"/>
    <x v="1"/>
    <x v="3"/>
    <n v="-150"/>
    <s v="Spenting"/>
  </r>
  <r>
    <x v="138"/>
    <x v="0"/>
    <s v="Drink"/>
    <s v="Coffee"/>
    <s v="Dining Out"/>
    <x v="1"/>
    <n v="-5"/>
    <x v="1"/>
    <x v="1"/>
    <x v="1"/>
    <n v="-5"/>
    <s v="Spenting"/>
  </r>
  <r>
    <x v="139"/>
    <x v="0"/>
    <s v="Drink"/>
    <s v="Coffee"/>
    <s v="Dining Out"/>
    <x v="1"/>
    <n v="-5"/>
    <x v="1"/>
    <x v="1"/>
    <x v="1"/>
    <n v="-5"/>
    <s v="Spenting"/>
  </r>
  <r>
    <x v="140"/>
    <x v="0"/>
    <s v="Drink"/>
    <s v="Coffee"/>
    <s v="Dining Out"/>
    <x v="1"/>
    <n v="-5"/>
    <x v="1"/>
    <x v="1"/>
    <x v="1"/>
    <n v="-5"/>
    <s v="Spenting"/>
  </r>
  <r>
    <x v="141"/>
    <x v="0"/>
    <s v="Drink"/>
    <s v="Coffee"/>
    <s v="Dining Out"/>
    <x v="1"/>
    <n v="-5"/>
    <x v="1"/>
    <x v="1"/>
    <x v="1"/>
    <n v="-5"/>
    <s v="Spenting"/>
  </r>
  <r>
    <x v="141"/>
    <x v="0"/>
    <s v="Green's"/>
    <s v="Groceries"/>
    <s v="Living Expenses"/>
    <x v="1"/>
    <n v="-119"/>
    <x v="1"/>
    <x v="1"/>
    <x v="95"/>
    <n v="-119"/>
    <s v="Spenting"/>
  </r>
  <r>
    <x v="142"/>
    <x v="0"/>
    <s v="Power source"/>
    <s v="Gas/Electrics"/>
    <s v="Living Expenses"/>
    <x v="1"/>
    <n v="-55"/>
    <x v="1"/>
    <x v="1"/>
    <x v="17"/>
    <n v="-55"/>
    <s v="Spenting"/>
  </r>
  <r>
    <x v="142"/>
    <x v="0"/>
    <s v="Drink"/>
    <s v="Coffee"/>
    <s v="Dining Out"/>
    <x v="1"/>
    <n v="-5"/>
    <x v="1"/>
    <x v="1"/>
    <x v="1"/>
    <n v="-5"/>
    <s v="Spenting"/>
  </r>
  <r>
    <x v="143"/>
    <x v="0"/>
    <s v="Drink"/>
    <s v="Coffee"/>
    <s v="Dining Out"/>
    <x v="1"/>
    <n v="-5"/>
    <x v="1"/>
    <x v="1"/>
    <x v="1"/>
    <n v="-5"/>
    <s v="Spenting"/>
  </r>
  <r>
    <x v="144"/>
    <x v="0"/>
    <s v="Fuel"/>
    <s v="Fueling"/>
    <s v="Transport"/>
    <x v="6"/>
    <n v="-82.1"/>
    <x v="4"/>
    <x v="1"/>
    <x v="96"/>
    <n v="-82.1"/>
    <s v="Spenting"/>
  </r>
  <r>
    <x v="144"/>
    <x v="0"/>
    <s v="Drink"/>
    <s v="Coffee"/>
    <s v="Dining Out"/>
    <x v="1"/>
    <n v="-5"/>
    <x v="1"/>
    <x v="1"/>
    <x v="1"/>
    <n v="-5"/>
    <s v="Spenting"/>
  </r>
  <r>
    <x v="145"/>
    <x v="0"/>
    <s v="Drink"/>
    <s v="Coffee"/>
    <s v="Dining Out"/>
    <x v="1"/>
    <n v="-5"/>
    <x v="1"/>
    <x v="1"/>
    <x v="1"/>
    <n v="-5"/>
    <s v="Spenting"/>
  </r>
  <r>
    <x v="146"/>
    <x v="0"/>
    <s v="Green's"/>
    <s v="Groceries"/>
    <s v="Living Expenses"/>
    <x v="1"/>
    <n v="-140.19999999999999"/>
    <x v="1"/>
    <x v="1"/>
    <x v="97"/>
    <n v="-140.19999999999999"/>
    <s v="Spenting"/>
  </r>
  <r>
    <x v="146"/>
    <x v="0"/>
    <s v="Drink"/>
    <s v="Coffee"/>
    <s v="Dining Out"/>
    <x v="1"/>
    <n v="-5"/>
    <x v="1"/>
    <x v="1"/>
    <x v="1"/>
    <n v="-5"/>
    <s v="Spenting"/>
  </r>
  <r>
    <x v="147"/>
    <x v="0"/>
    <s v="Drink"/>
    <s v="Coffee"/>
    <s v="Dining Out"/>
    <x v="1"/>
    <n v="-5"/>
    <x v="1"/>
    <x v="1"/>
    <x v="1"/>
    <n v="-5"/>
    <s v="Spenting"/>
  </r>
  <r>
    <x v="147"/>
    <x v="0"/>
    <s v="Cinemas"/>
    <s v="Entertainment"/>
    <s v="Discretionary"/>
    <x v="4"/>
    <n v="-44.9"/>
    <x v="4"/>
    <x v="1"/>
    <x v="98"/>
    <n v="-44.9"/>
    <s v="Spenting"/>
  </r>
  <r>
    <x v="147"/>
    <x v="0"/>
    <s v="Fashionistas"/>
    <s v="Clothes"/>
    <s v="Discretionary"/>
    <x v="5"/>
    <n v="-102.9"/>
    <x v="1"/>
    <x v="1"/>
    <x v="99"/>
    <n v="-102.9"/>
    <s v="Spenting"/>
  </r>
  <r>
    <x v="147"/>
    <x v="0"/>
    <s v="Burger"/>
    <s v="Restaurant"/>
    <s v="Dining Out"/>
    <x v="1"/>
    <n v="-56.9"/>
    <x v="1"/>
    <x v="1"/>
    <x v="100"/>
    <n v="-56.9"/>
    <s v="Spenting"/>
  </r>
  <r>
    <x v="148"/>
    <x v="0"/>
    <s v="Uba"/>
    <s v="Taxi"/>
    <s v="Transport"/>
    <x v="6"/>
    <n v="-33.1"/>
    <x v="4"/>
    <x v="1"/>
    <x v="101"/>
    <n v="-33.1"/>
    <s v="Spenting"/>
  </r>
  <r>
    <x v="149"/>
    <x v="0"/>
    <s v="Onlne earning"/>
    <s v="YouTube"/>
    <s v="Passive"/>
    <x v="7"/>
    <n v="100"/>
    <x v="0"/>
    <x v="6"/>
    <x v="0"/>
    <n v="100"/>
    <s v="Saving"/>
  </r>
  <r>
    <x v="149"/>
    <x v="0"/>
    <s v="Drink"/>
    <s v="Coffee"/>
    <s v="Dining Out"/>
    <x v="1"/>
    <n v="-5"/>
    <x v="1"/>
    <x v="1"/>
    <x v="1"/>
    <n v="-5"/>
    <s v="Spenting"/>
  </r>
  <r>
    <x v="150"/>
    <x v="0"/>
    <s v="Drink"/>
    <s v="Coffee"/>
    <s v="Dining Out"/>
    <x v="1"/>
    <n v="-5"/>
    <x v="1"/>
    <x v="1"/>
    <x v="1"/>
    <n v="-5"/>
    <s v="Spenting"/>
  </r>
  <r>
    <x v="150"/>
    <x v="0"/>
    <s v="Phone"/>
    <s v="Phone"/>
    <s v="Living Expenses"/>
    <x v="8"/>
    <n v="-40"/>
    <x v="2"/>
    <x v="1"/>
    <x v="8"/>
    <n v="-40"/>
    <s v="Spenting"/>
  </r>
  <r>
    <x v="151"/>
    <x v="0"/>
    <s v="Sallah give away"/>
    <s v="Gifts"/>
    <s v="Discretionary"/>
    <x v="5"/>
    <n v="-50.1"/>
    <x v="1"/>
    <x v="1"/>
    <x v="102"/>
    <n v="-50.1"/>
    <s v="Spenting"/>
  </r>
  <r>
    <x v="151"/>
    <x v="0"/>
    <s v="Online streaming"/>
    <s v="Entertainment"/>
    <s v="Discretionary"/>
    <x v="4"/>
    <n v="-35"/>
    <x v="4"/>
    <x v="1"/>
    <x v="33"/>
    <n v="-35"/>
    <s v="Spenting"/>
  </r>
  <r>
    <x v="151"/>
    <x v="0"/>
    <s v="Drink"/>
    <s v="Coffee"/>
    <s v="Dining Out"/>
    <x v="1"/>
    <n v="-5"/>
    <x v="1"/>
    <x v="1"/>
    <x v="1"/>
    <n v="-5"/>
    <s v="Spenting"/>
  </r>
  <r>
    <x v="152"/>
    <x v="0"/>
    <s v="Drink"/>
    <s v="Coffee"/>
    <s v="Dining Out"/>
    <x v="1"/>
    <n v="-5"/>
    <x v="1"/>
    <x v="1"/>
    <x v="1"/>
    <n v="-5"/>
    <s v="Spenting"/>
  </r>
  <r>
    <x v="153"/>
    <x v="0"/>
    <s v="Drink"/>
    <s v="Coffee"/>
    <s v="Dining Out"/>
    <x v="1"/>
    <n v="-5"/>
    <x v="1"/>
    <x v="1"/>
    <x v="1"/>
    <n v="-5"/>
    <s v="Spenting"/>
  </r>
  <r>
    <x v="153"/>
    <x v="0"/>
    <s v="Green's"/>
    <s v="Groceries"/>
    <s v="Living Expenses"/>
    <x v="1"/>
    <n v="-234"/>
    <x v="1"/>
    <x v="1"/>
    <x v="103"/>
    <n v="-234"/>
    <s v="Spenting"/>
  </r>
  <r>
    <x v="154"/>
    <x v="0"/>
    <s v="Suya"/>
    <s v="Restaurant"/>
    <s v="Dining Out"/>
    <x v="1"/>
    <n v="-42.1"/>
    <x v="1"/>
    <x v="1"/>
    <x v="104"/>
    <n v="-42.1"/>
    <s v="Spenting"/>
  </r>
  <r>
    <x v="155"/>
    <x v="0"/>
    <s v="Oha soup/White soup"/>
    <s v="Restaurant"/>
    <s v="Dining Out"/>
    <x v="1"/>
    <n v="-17.099999999999998"/>
    <x v="1"/>
    <x v="1"/>
    <x v="105"/>
    <n v="-17.099999999999998"/>
    <s v="Spenting"/>
  </r>
  <r>
    <x v="156"/>
    <x v="0"/>
    <s v="Orphanage"/>
    <s v="Donation"/>
    <s v="Charity"/>
    <x v="5"/>
    <n v="-55"/>
    <x v="1"/>
    <x v="1"/>
    <x v="17"/>
    <n v="-55"/>
    <s v="Spenting"/>
  </r>
  <r>
    <x v="156"/>
    <x v="0"/>
    <s v="Fuel"/>
    <s v="Fueling"/>
    <s v="Transport"/>
    <x v="6"/>
    <n v="-67.900000000000006"/>
    <x v="4"/>
    <x v="1"/>
    <x v="106"/>
    <n v="-67.900000000000006"/>
    <s v="Spenting"/>
  </r>
  <r>
    <x v="156"/>
    <x v="0"/>
    <s v="Drink"/>
    <s v="Coffee"/>
    <s v="Dining Out"/>
    <x v="1"/>
    <n v="-5"/>
    <x v="1"/>
    <x v="1"/>
    <x v="1"/>
    <n v="-5"/>
    <s v="Spenting"/>
  </r>
  <r>
    <x v="157"/>
    <x v="0"/>
    <s v="Drink"/>
    <s v="Coffee"/>
    <s v="Dining Out"/>
    <x v="1"/>
    <n v="-5"/>
    <x v="1"/>
    <x v="1"/>
    <x v="1"/>
    <n v="-5"/>
    <s v="Spenting"/>
  </r>
  <r>
    <x v="158"/>
    <x v="0"/>
    <s v="Drink"/>
    <s v="Coffee"/>
    <s v="Dining Out"/>
    <x v="1"/>
    <n v="-5"/>
    <x v="1"/>
    <x v="1"/>
    <x v="1"/>
    <n v="-5"/>
    <s v="Spenting"/>
  </r>
  <r>
    <x v="159"/>
    <x v="0"/>
    <s v="Drink"/>
    <s v="Coffee"/>
    <s v="Dining Out"/>
    <x v="1"/>
    <n v="-5"/>
    <x v="1"/>
    <x v="1"/>
    <x v="1"/>
    <n v="-5"/>
    <s v="Spenting"/>
  </r>
  <r>
    <x v="160"/>
    <x v="0"/>
    <s v="Drink"/>
    <s v="Coffee"/>
    <s v="Dining Out"/>
    <x v="1"/>
    <n v="-5"/>
    <x v="1"/>
    <x v="1"/>
    <x v="1"/>
    <n v="-5"/>
    <s v="Spenting"/>
  </r>
  <r>
    <x v="160"/>
    <x v="0"/>
    <s v="Green's"/>
    <s v="Groceries"/>
    <s v="Living Expenses"/>
    <x v="1"/>
    <n v="-166.9"/>
    <x v="1"/>
    <x v="1"/>
    <x v="107"/>
    <n v="-166.9"/>
    <s v="Spenting"/>
  </r>
  <r>
    <x v="161"/>
    <x v="0"/>
    <s v="Trainers"/>
    <s v="Clothes"/>
    <s v="Discretionary"/>
    <x v="5"/>
    <n v="-129.9"/>
    <x v="1"/>
    <x v="1"/>
    <x v="108"/>
    <n v="-129.9"/>
    <s v="Spenting"/>
  </r>
  <r>
    <x v="161"/>
    <x v="0"/>
    <s v="Hangingout/Ticket"/>
    <s v="Entertainment"/>
    <s v="Discretionary"/>
    <x v="4"/>
    <n v="-180.29999999999998"/>
    <x v="4"/>
    <x v="1"/>
    <x v="109"/>
    <n v="-180.29999999999998"/>
    <s v="Spenting"/>
  </r>
  <r>
    <x v="162"/>
    <x v="0"/>
    <s v="Fashionistas"/>
    <s v="Clothes"/>
    <s v="Discretionary"/>
    <x v="5"/>
    <n v="-150.1"/>
    <x v="1"/>
    <x v="1"/>
    <x v="110"/>
    <n v="-150.1"/>
    <s v="Spenting"/>
  </r>
  <r>
    <x v="162"/>
    <x v="0"/>
    <s v="Uba"/>
    <s v="Taxi"/>
    <s v="Transport"/>
    <x v="6"/>
    <n v="-28.200000000000003"/>
    <x v="4"/>
    <x v="1"/>
    <x v="111"/>
    <n v="-28.200000000000003"/>
    <s v="Spenting"/>
  </r>
  <r>
    <x v="162"/>
    <x v="0"/>
    <s v="Foodary"/>
    <s v="Restaurant"/>
    <s v="Dining Out"/>
    <x v="1"/>
    <n v="-15"/>
    <x v="1"/>
    <x v="1"/>
    <x v="61"/>
    <n v="-15"/>
    <s v="Spenting"/>
  </r>
  <r>
    <x v="163"/>
    <x v="0"/>
    <s v="Drink"/>
    <s v="Coffee"/>
    <s v="Dining Out"/>
    <x v="1"/>
    <n v="-5"/>
    <x v="1"/>
    <x v="1"/>
    <x v="1"/>
    <n v="-5"/>
    <s v="Spenting"/>
  </r>
  <r>
    <x v="164"/>
    <x v="0"/>
    <s v="Drink"/>
    <s v="Coffee"/>
    <s v="Dining Out"/>
    <x v="1"/>
    <n v="-5"/>
    <x v="1"/>
    <x v="1"/>
    <x v="1"/>
    <n v="-5"/>
    <s v="Spenting"/>
  </r>
  <r>
    <x v="165"/>
    <x v="0"/>
    <s v="Data With Decision"/>
    <s v="Data with Decision"/>
    <s v="Salary"/>
    <x v="0"/>
    <n v="5000"/>
    <x v="0"/>
    <x v="0"/>
    <x v="0"/>
    <n v="5000"/>
    <s v="Saving"/>
  </r>
  <r>
    <x v="166"/>
    <x v="0"/>
    <s v="Drink"/>
    <s v="Coffee"/>
    <s v="Dining Out"/>
    <x v="1"/>
    <n v="-5"/>
    <x v="1"/>
    <x v="1"/>
    <x v="1"/>
    <n v="-5"/>
    <s v="Spenting"/>
  </r>
  <r>
    <x v="167"/>
    <x v="0"/>
    <s v="Estate Mangement"/>
    <s v="Rent"/>
    <s v="Living Expenses"/>
    <x v="2"/>
    <n v="-900"/>
    <x v="2"/>
    <x v="1"/>
    <x v="2"/>
    <n v="-900"/>
    <s v="Spenting"/>
  </r>
  <r>
    <x v="167"/>
    <x v="0"/>
    <s v="Financail upgrade"/>
    <s v="Cash loan"/>
    <s v="Transport"/>
    <x v="3"/>
    <n v="-150"/>
    <x v="3"/>
    <x v="1"/>
    <x v="3"/>
    <n v="-150"/>
    <s v="Spenting"/>
  </r>
  <r>
    <x v="167"/>
    <x v="0"/>
    <s v="Feedings"/>
    <s v="Restaurant"/>
    <s v="Dining Out"/>
    <x v="1"/>
    <n v="-15"/>
    <x v="1"/>
    <x v="1"/>
    <x v="61"/>
    <n v="-15"/>
    <s v="Spenting"/>
  </r>
  <r>
    <x v="167"/>
    <x v="0"/>
    <s v="Drink"/>
    <s v="Coffee"/>
    <s v="Dining Out"/>
    <x v="1"/>
    <n v="-5"/>
    <x v="1"/>
    <x v="1"/>
    <x v="1"/>
    <n v="-5"/>
    <s v="Spenting"/>
  </r>
  <r>
    <x v="168"/>
    <x v="0"/>
    <s v="Drink"/>
    <s v="Coffee"/>
    <s v="Dining Out"/>
    <x v="1"/>
    <n v="-5"/>
    <x v="1"/>
    <x v="1"/>
    <x v="1"/>
    <n v="-5"/>
    <s v="Spenting"/>
  </r>
  <r>
    <x v="169"/>
    <x v="0"/>
    <s v="Drink"/>
    <s v="Coffee"/>
    <s v="Dining Out"/>
    <x v="1"/>
    <n v="-5"/>
    <x v="1"/>
    <x v="1"/>
    <x v="1"/>
    <n v="-5"/>
    <s v="Spenting"/>
  </r>
  <r>
    <x v="169"/>
    <x v="0"/>
    <s v="Green's"/>
    <s v="Groceries"/>
    <s v="Living Expenses"/>
    <x v="1"/>
    <n v="-180"/>
    <x v="1"/>
    <x v="1"/>
    <x v="112"/>
    <n v="-180"/>
    <s v="Spenting"/>
  </r>
  <r>
    <x v="170"/>
    <x v="0"/>
    <s v="Power source"/>
    <s v="Gas/Electrics"/>
    <s v="Living Expenses"/>
    <x v="1"/>
    <n v="-56.1"/>
    <x v="1"/>
    <x v="1"/>
    <x v="113"/>
    <n v="-56.1"/>
    <s v="Spenting"/>
  </r>
  <r>
    <x v="170"/>
    <x v="0"/>
    <s v="Drink"/>
    <s v="Coffee"/>
    <s v="Dining Out"/>
    <x v="1"/>
    <n v="-5"/>
    <x v="1"/>
    <x v="1"/>
    <x v="1"/>
    <n v="-5"/>
    <s v="Spenting"/>
  </r>
  <r>
    <x v="171"/>
    <x v="0"/>
    <s v="Drink"/>
    <s v="Coffee"/>
    <s v="Dining Out"/>
    <x v="1"/>
    <n v="-5"/>
    <x v="1"/>
    <x v="1"/>
    <x v="1"/>
    <n v="-5"/>
    <s v="Spenting"/>
  </r>
  <r>
    <x v="172"/>
    <x v="0"/>
    <s v="Fuel"/>
    <s v="Fueling"/>
    <s v="Transport"/>
    <x v="6"/>
    <n v="-83.1"/>
    <x v="4"/>
    <x v="1"/>
    <x v="114"/>
    <n v="-83.1"/>
    <s v="Spenting"/>
  </r>
  <r>
    <x v="172"/>
    <x v="0"/>
    <s v="Drink"/>
    <s v="Coffee"/>
    <s v="Dining Out"/>
    <x v="1"/>
    <n v="-5"/>
    <x v="1"/>
    <x v="1"/>
    <x v="1"/>
    <n v="-5"/>
    <s v="Spenting"/>
  </r>
  <r>
    <x v="173"/>
    <x v="0"/>
    <s v="Drink"/>
    <s v="Coffee"/>
    <s v="Dining Out"/>
    <x v="1"/>
    <n v="-5"/>
    <x v="1"/>
    <x v="1"/>
    <x v="1"/>
    <n v="-5"/>
    <s v="Spenting"/>
  </r>
  <r>
    <x v="174"/>
    <x v="0"/>
    <s v="Green's"/>
    <s v="Groceries"/>
    <s v="Living Expenses"/>
    <x v="1"/>
    <n v="-141.1"/>
    <x v="1"/>
    <x v="1"/>
    <x v="115"/>
    <n v="-141.1"/>
    <s v="Spenting"/>
  </r>
  <r>
    <x v="174"/>
    <x v="0"/>
    <s v="Drink"/>
    <s v="Coffee"/>
    <s v="Dining Out"/>
    <x v="1"/>
    <n v="-5"/>
    <x v="1"/>
    <x v="1"/>
    <x v="1"/>
    <n v="-5"/>
    <s v="Spenting"/>
  </r>
  <r>
    <x v="175"/>
    <x v="0"/>
    <s v="Drink"/>
    <s v="Coffee"/>
    <s v="Dining Out"/>
    <x v="1"/>
    <n v="-5"/>
    <x v="1"/>
    <x v="1"/>
    <x v="1"/>
    <n v="-5"/>
    <s v="Spenting"/>
  </r>
  <r>
    <x v="175"/>
    <x v="0"/>
    <s v="Cinemas"/>
    <s v="Entertainment"/>
    <s v="Discretionary"/>
    <x v="4"/>
    <n v="-45.8"/>
    <x v="4"/>
    <x v="1"/>
    <x v="116"/>
    <n v="-45.8"/>
    <s v="Spenting"/>
  </r>
  <r>
    <x v="175"/>
    <x v="0"/>
    <s v="Fashionistas"/>
    <s v="Clothes"/>
    <s v="Discretionary"/>
    <x v="5"/>
    <n v="-103.80000000000001"/>
    <x v="1"/>
    <x v="1"/>
    <x v="117"/>
    <n v="-103.80000000000001"/>
    <s v="Spenting"/>
  </r>
  <r>
    <x v="175"/>
    <x v="0"/>
    <s v="Burger"/>
    <s v="Restaurant"/>
    <s v="Dining Out"/>
    <x v="1"/>
    <n v="-58"/>
    <x v="1"/>
    <x v="1"/>
    <x v="118"/>
    <n v="-58"/>
    <s v="Spenting"/>
  </r>
  <r>
    <x v="176"/>
    <x v="0"/>
    <s v="Uba"/>
    <s v="Taxi"/>
    <s v="Transport"/>
    <x v="6"/>
    <n v="-34.200000000000003"/>
    <x v="4"/>
    <x v="1"/>
    <x v="119"/>
    <n v="-34.200000000000003"/>
    <s v="Spenting"/>
  </r>
  <r>
    <x v="177"/>
    <x v="0"/>
    <s v="Onlne earning"/>
    <s v="YouTube"/>
    <s v="Passive"/>
    <x v="7"/>
    <n v="200"/>
    <x v="0"/>
    <x v="7"/>
    <x v="0"/>
    <n v="200"/>
    <s v="Saving"/>
  </r>
  <r>
    <x v="177"/>
    <x v="0"/>
    <s v="Drink"/>
    <s v="Coffee"/>
    <s v="Dining Out"/>
    <x v="1"/>
    <n v="-5"/>
    <x v="1"/>
    <x v="1"/>
    <x v="1"/>
    <n v="-5"/>
    <s v="Spenting"/>
  </r>
  <r>
    <x v="178"/>
    <x v="0"/>
    <s v="Drink"/>
    <s v="Coffee"/>
    <s v="Dining Out"/>
    <x v="1"/>
    <n v="-5"/>
    <x v="1"/>
    <x v="1"/>
    <x v="1"/>
    <n v="-5"/>
    <s v="Spenting"/>
  </r>
  <r>
    <x v="178"/>
    <x v="0"/>
    <s v="Phone"/>
    <s v="Phone"/>
    <s v="Living Expenses"/>
    <x v="8"/>
    <n v="-40"/>
    <x v="2"/>
    <x v="1"/>
    <x v="8"/>
    <n v="-40"/>
    <s v="Spenting"/>
  </r>
  <r>
    <x v="179"/>
    <x v="0"/>
    <s v="Sallah give away"/>
    <s v="Gifts"/>
    <s v="Discretionary"/>
    <x v="5"/>
    <n v="-51.1"/>
    <x v="1"/>
    <x v="1"/>
    <x v="25"/>
    <n v="-51.1"/>
    <s v="Spenting"/>
  </r>
  <r>
    <x v="179"/>
    <x v="0"/>
    <s v="Online streaming"/>
    <s v="Entertainment"/>
    <s v="Discretionary"/>
    <x v="4"/>
    <n v="-35"/>
    <x v="4"/>
    <x v="1"/>
    <x v="33"/>
    <n v="-35"/>
    <s v="Spenting"/>
  </r>
  <r>
    <x v="179"/>
    <x v="0"/>
    <s v="Drink"/>
    <s v="Coffee"/>
    <s v="Dining Out"/>
    <x v="1"/>
    <n v="-5"/>
    <x v="1"/>
    <x v="1"/>
    <x v="1"/>
    <n v="-5"/>
    <s v="Spenting"/>
  </r>
  <r>
    <x v="180"/>
    <x v="0"/>
    <s v="Drink"/>
    <s v="Coffee"/>
    <s v="Dining Out"/>
    <x v="1"/>
    <n v="-5"/>
    <x v="1"/>
    <x v="1"/>
    <x v="1"/>
    <n v="-5"/>
    <s v="Spenting"/>
  </r>
  <r>
    <x v="181"/>
    <x v="0"/>
    <s v="Drink"/>
    <s v="Coffee"/>
    <s v="Dining Out"/>
    <x v="1"/>
    <n v="-5"/>
    <x v="1"/>
    <x v="1"/>
    <x v="1"/>
    <n v="-5"/>
    <s v="Spenting"/>
  </r>
  <r>
    <x v="181"/>
    <x v="0"/>
    <s v="Green's"/>
    <s v="Groceries"/>
    <s v="Living Expenses"/>
    <x v="1"/>
    <n v="-176"/>
    <x v="1"/>
    <x v="1"/>
    <x v="120"/>
    <n v="-176"/>
    <s v="Spenting"/>
  </r>
  <r>
    <x v="182"/>
    <x v="0"/>
    <s v="Suya"/>
    <s v="Restaurant"/>
    <s v="Dining Out"/>
    <x v="1"/>
    <n v="-43.1"/>
    <x v="1"/>
    <x v="1"/>
    <x v="121"/>
    <n v="-43.1"/>
    <s v="Spenting"/>
  </r>
  <r>
    <x v="183"/>
    <x v="0"/>
    <s v="Oha soup/White soup"/>
    <s v="Restaurant"/>
    <s v="Dining Out"/>
    <x v="1"/>
    <n v="-18.2"/>
    <x v="1"/>
    <x v="1"/>
    <x v="122"/>
    <n v="-18.2"/>
    <s v="Spenting"/>
  </r>
  <r>
    <x v="184"/>
    <x v="0"/>
    <s v="Orphanage"/>
    <s v="Donation"/>
    <s v="Charity"/>
    <x v="5"/>
    <n v="-55"/>
    <x v="1"/>
    <x v="1"/>
    <x v="17"/>
    <n v="-55"/>
    <s v="Spenting"/>
  </r>
  <r>
    <x v="184"/>
    <x v="0"/>
    <s v="Fuel"/>
    <s v="Fueling"/>
    <s v="Transport"/>
    <x v="6"/>
    <n v="-68.800000000000011"/>
    <x v="4"/>
    <x v="1"/>
    <x v="123"/>
    <n v="-68.800000000000011"/>
    <s v="Spenting"/>
  </r>
  <r>
    <x v="184"/>
    <x v="0"/>
    <s v="Drink"/>
    <s v="Coffee"/>
    <s v="Dining Out"/>
    <x v="1"/>
    <n v="-5"/>
    <x v="1"/>
    <x v="1"/>
    <x v="1"/>
    <n v="-5"/>
    <s v="Spenting"/>
  </r>
  <r>
    <x v="185"/>
    <x v="0"/>
    <s v="Drink"/>
    <s v="Coffee"/>
    <s v="Dining Out"/>
    <x v="1"/>
    <n v="-5"/>
    <x v="1"/>
    <x v="1"/>
    <x v="1"/>
    <n v="-5"/>
    <s v="Spenting"/>
  </r>
  <r>
    <x v="186"/>
    <x v="0"/>
    <s v="Drink"/>
    <s v="Coffee"/>
    <s v="Dining Out"/>
    <x v="1"/>
    <n v="-5"/>
    <x v="1"/>
    <x v="1"/>
    <x v="1"/>
    <n v="-5"/>
    <s v="Spenting"/>
  </r>
  <r>
    <x v="187"/>
    <x v="0"/>
    <s v="Drink"/>
    <s v="Coffee"/>
    <s v="Dining Out"/>
    <x v="1"/>
    <n v="-5"/>
    <x v="1"/>
    <x v="1"/>
    <x v="1"/>
    <n v="-5"/>
    <s v="Spenting"/>
  </r>
  <r>
    <x v="188"/>
    <x v="0"/>
    <s v="Drink"/>
    <s v="Coffee"/>
    <s v="Dining Out"/>
    <x v="1"/>
    <n v="-5"/>
    <x v="1"/>
    <x v="1"/>
    <x v="1"/>
    <n v="-5"/>
    <s v="Spenting"/>
  </r>
  <r>
    <x v="188"/>
    <x v="0"/>
    <s v="Green's"/>
    <s v="Groceries"/>
    <s v="Living Expenses"/>
    <x v="1"/>
    <n v="-193"/>
    <x v="1"/>
    <x v="1"/>
    <x v="124"/>
    <n v="-193"/>
    <s v="Spenting"/>
  </r>
  <r>
    <x v="189"/>
    <x v="0"/>
    <s v="Trainers"/>
    <s v="Clothes"/>
    <s v="Discretionary"/>
    <x v="5"/>
    <n v="-130.80000000000001"/>
    <x v="1"/>
    <x v="1"/>
    <x v="125"/>
    <n v="-130.80000000000001"/>
    <s v="Spenting"/>
  </r>
  <r>
    <x v="189"/>
    <x v="0"/>
    <s v="Home décor"/>
    <s v="Furnishings"/>
    <s v="Discretionary"/>
    <x v="2"/>
    <n v="-181.39999999999998"/>
    <x v="2"/>
    <x v="1"/>
    <x v="126"/>
    <n v="-181.39999999999998"/>
    <s v="Spenting"/>
  </r>
  <r>
    <x v="190"/>
    <x v="0"/>
    <s v="Fashionistas"/>
    <s v="Clothes"/>
    <s v="Discretionary"/>
    <x v="5"/>
    <n v="-151.19999999999999"/>
    <x v="1"/>
    <x v="1"/>
    <x v="127"/>
    <n v="-151.19999999999999"/>
    <s v="Spenting"/>
  </r>
  <r>
    <x v="190"/>
    <x v="0"/>
    <s v="Uba"/>
    <s v="Taxi"/>
    <s v="Transport"/>
    <x v="6"/>
    <n v="-29.300000000000004"/>
    <x v="4"/>
    <x v="1"/>
    <x v="128"/>
    <n v="-29.300000000000004"/>
    <s v="Spenting"/>
  </r>
  <r>
    <x v="190"/>
    <x v="0"/>
    <s v="Foodary"/>
    <s v="Restaurant"/>
    <s v="Dining Out"/>
    <x v="1"/>
    <n v="-15"/>
    <x v="1"/>
    <x v="1"/>
    <x v="61"/>
    <n v="-15"/>
    <s v="Spenting"/>
  </r>
  <r>
    <x v="191"/>
    <x v="0"/>
    <s v="Drink"/>
    <s v="Coffee"/>
    <s v="Dining Out"/>
    <x v="1"/>
    <n v="-5"/>
    <x v="1"/>
    <x v="1"/>
    <x v="1"/>
    <n v="-5"/>
    <s v="Spenting"/>
  </r>
  <r>
    <x v="192"/>
    <x v="0"/>
    <s v="Drink"/>
    <s v="Coffee"/>
    <s v="Dining Out"/>
    <x v="1"/>
    <n v="-5"/>
    <x v="1"/>
    <x v="1"/>
    <x v="1"/>
    <n v="-5"/>
    <s v="Spenting"/>
  </r>
  <r>
    <x v="192"/>
    <x v="0"/>
    <s v="Data With Decision"/>
    <s v="Data with Decision"/>
    <s v="Salary"/>
    <x v="0"/>
    <n v="5000"/>
    <x v="0"/>
    <x v="0"/>
    <x v="0"/>
    <n v="5000"/>
    <s v="Saving"/>
  </r>
  <r>
    <x v="193"/>
    <x v="0"/>
    <s v="Drink"/>
    <s v="Coffee"/>
    <s v="Dining Out"/>
    <x v="1"/>
    <n v="-5"/>
    <x v="1"/>
    <x v="1"/>
    <x v="1"/>
    <n v="-5"/>
    <s v="Spenting"/>
  </r>
  <r>
    <x v="194"/>
    <x v="0"/>
    <s v="Estate Mangement"/>
    <s v="Rent"/>
    <s v="Living Expenses"/>
    <x v="2"/>
    <n v="-900"/>
    <x v="2"/>
    <x v="1"/>
    <x v="2"/>
    <n v="-900"/>
    <s v="Spenting"/>
  </r>
  <r>
    <x v="194"/>
    <x v="0"/>
    <s v="Financail upgrade"/>
    <s v="Cash loan"/>
    <s v="Transport"/>
    <x v="3"/>
    <n v="-150"/>
    <x v="3"/>
    <x v="1"/>
    <x v="3"/>
    <n v="-150"/>
    <s v="Spenting"/>
  </r>
  <r>
    <x v="194"/>
    <x v="0"/>
    <s v="Drink"/>
    <s v="Coffee"/>
    <s v="Dining Out"/>
    <x v="1"/>
    <n v="-5"/>
    <x v="1"/>
    <x v="1"/>
    <x v="1"/>
    <n v="-5"/>
    <s v="Spenting"/>
  </r>
  <r>
    <x v="194"/>
    <x v="0"/>
    <s v="Drink"/>
    <s v="Coffee"/>
    <s v="Dining Out"/>
    <x v="1"/>
    <n v="-5"/>
    <x v="1"/>
    <x v="1"/>
    <x v="1"/>
    <n v="-5"/>
    <s v="Spenting"/>
  </r>
  <r>
    <x v="195"/>
    <x v="0"/>
    <s v="Drink"/>
    <s v="Coffee"/>
    <s v="Dining Out"/>
    <x v="1"/>
    <n v="-5"/>
    <x v="1"/>
    <x v="1"/>
    <x v="1"/>
    <n v="-5"/>
    <s v="Spenting"/>
  </r>
  <r>
    <x v="196"/>
    <x v="0"/>
    <s v="Drink"/>
    <s v="Coffee"/>
    <s v="Dining Out"/>
    <x v="1"/>
    <n v="-5"/>
    <x v="1"/>
    <x v="1"/>
    <x v="1"/>
    <n v="-5"/>
    <s v="Spenting"/>
  </r>
  <r>
    <x v="196"/>
    <x v="0"/>
    <s v="Green's"/>
    <s v="Groceries"/>
    <s v="Living Expenses"/>
    <x v="1"/>
    <n v="-137"/>
    <x v="1"/>
    <x v="1"/>
    <x v="40"/>
    <n v="-137"/>
    <s v="Spenting"/>
  </r>
  <r>
    <x v="197"/>
    <x v="0"/>
    <s v="Power source"/>
    <s v="Gas/Electrics"/>
    <s v="Living Expenses"/>
    <x v="1"/>
    <n v="-57"/>
    <x v="1"/>
    <x v="1"/>
    <x v="129"/>
    <n v="-57"/>
    <s v="Spenting"/>
  </r>
  <r>
    <x v="197"/>
    <x v="0"/>
    <s v="Drink"/>
    <s v="Coffee"/>
    <s v="Dining Out"/>
    <x v="1"/>
    <n v="-5"/>
    <x v="1"/>
    <x v="1"/>
    <x v="1"/>
    <n v="-5"/>
    <s v="Spenting"/>
  </r>
  <r>
    <x v="198"/>
    <x v="0"/>
    <s v="Drink"/>
    <s v="Coffee"/>
    <s v="Dining Out"/>
    <x v="1"/>
    <n v="-5"/>
    <x v="1"/>
    <x v="1"/>
    <x v="1"/>
    <n v="-5"/>
    <s v="Spenting"/>
  </r>
  <r>
    <x v="199"/>
    <x v="0"/>
    <s v="Fuel"/>
    <s v="Fueling"/>
    <s v="Transport"/>
    <x v="6"/>
    <n v="-84.199999999999989"/>
    <x v="4"/>
    <x v="1"/>
    <x v="130"/>
    <n v="-84.199999999999989"/>
    <s v="Spenting"/>
  </r>
  <r>
    <x v="199"/>
    <x v="0"/>
    <s v="Drink"/>
    <s v="Coffee"/>
    <s v="Dining Out"/>
    <x v="1"/>
    <n v="-5"/>
    <x v="1"/>
    <x v="1"/>
    <x v="1"/>
    <n v="-5"/>
    <s v="Spenting"/>
  </r>
  <r>
    <x v="200"/>
    <x v="0"/>
    <s v="Drink"/>
    <s v="Coffee"/>
    <s v="Dining Out"/>
    <x v="1"/>
    <n v="-5"/>
    <x v="1"/>
    <x v="1"/>
    <x v="1"/>
    <n v="-5"/>
    <s v="Spenting"/>
  </r>
  <r>
    <x v="201"/>
    <x v="0"/>
    <s v="Green's"/>
    <s v="Groceries"/>
    <s v="Living Expenses"/>
    <x v="1"/>
    <n v="-142.1"/>
    <x v="1"/>
    <x v="1"/>
    <x v="131"/>
    <n v="-142.1"/>
    <s v="Spenting"/>
  </r>
  <r>
    <x v="201"/>
    <x v="0"/>
    <s v="Drink"/>
    <s v="Coffee"/>
    <s v="Dining Out"/>
    <x v="1"/>
    <n v="-5"/>
    <x v="1"/>
    <x v="1"/>
    <x v="1"/>
    <n v="-5"/>
    <s v="Spenting"/>
  </r>
  <r>
    <x v="202"/>
    <x v="0"/>
    <s v="Drink"/>
    <s v="Coffee"/>
    <s v="Dining Out"/>
    <x v="1"/>
    <n v="-5"/>
    <x v="1"/>
    <x v="1"/>
    <x v="1"/>
    <n v="-5"/>
    <s v="Spenting"/>
  </r>
  <r>
    <x v="202"/>
    <x v="0"/>
    <s v="Cinemas"/>
    <s v="Entertainment"/>
    <s v="Discretionary"/>
    <x v="4"/>
    <n v="-46.8"/>
    <x v="4"/>
    <x v="1"/>
    <x v="51"/>
    <n v="-46.8"/>
    <s v="Spenting"/>
  </r>
  <r>
    <x v="202"/>
    <x v="0"/>
    <s v="Fashionistas"/>
    <s v="Clothes"/>
    <s v="Discretionary"/>
    <x v="5"/>
    <n v="-104.70000000000002"/>
    <x v="1"/>
    <x v="1"/>
    <x v="132"/>
    <n v="-104.70000000000002"/>
    <s v="Spenting"/>
  </r>
  <r>
    <x v="202"/>
    <x v="0"/>
    <s v="Burger"/>
    <s v="Restaurant"/>
    <s v="Dining Out"/>
    <x v="1"/>
    <n v="-59.1"/>
    <x v="1"/>
    <x v="1"/>
    <x v="133"/>
    <n v="-59.1"/>
    <s v="Spenting"/>
  </r>
  <r>
    <x v="203"/>
    <x v="0"/>
    <s v="Uba"/>
    <s v="Taxi"/>
    <s v="Transport"/>
    <x v="6"/>
    <n v="-35.1"/>
    <x v="4"/>
    <x v="1"/>
    <x v="134"/>
    <n v="-35.1"/>
    <s v="Spenting"/>
  </r>
  <r>
    <x v="204"/>
    <x v="0"/>
    <s v="Onlne earning"/>
    <s v="YouTube"/>
    <s v="Passive"/>
    <x v="7"/>
    <n v="800"/>
    <x v="0"/>
    <x v="3"/>
    <x v="0"/>
    <n v="800"/>
    <s v="Saving"/>
  </r>
  <r>
    <x v="204"/>
    <x v="0"/>
    <s v="Drink"/>
    <s v="Coffee"/>
    <s v="Dining Out"/>
    <x v="1"/>
    <n v="-5"/>
    <x v="1"/>
    <x v="1"/>
    <x v="1"/>
    <n v="-5"/>
    <s v="Spenting"/>
  </r>
  <r>
    <x v="205"/>
    <x v="0"/>
    <s v="Drink"/>
    <s v="Coffee"/>
    <s v="Dining Out"/>
    <x v="1"/>
    <n v="-5"/>
    <x v="1"/>
    <x v="1"/>
    <x v="1"/>
    <n v="-5"/>
    <s v="Spenting"/>
  </r>
  <r>
    <x v="205"/>
    <x v="0"/>
    <s v="Phone"/>
    <s v="Phone"/>
    <s v="Living Expenses"/>
    <x v="8"/>
    <n v="-40"/>
    <x v="2"/>
    <x v="1"/>
    <x v="8"/>
    <n v="-40"/>
    <s v="Spenting"/>
  </r>
  <r>
    <x v="206"/>
    <x v="0"/>
    <s v="Sallah give away"/>
    <s v="Gifts"/>
    <s v="Discretionary"/>
    <x v="5"/>
    <n v="-52.1"/>
    <x v="1"/>
    <x v="1"/>
    <x v="44"/>
    <n v="-52.1"/>
    <s v="Spenting"/>
  </r>
  <r>
    <x v="206"/>
    <x v="0"/>
    <s v="Online streaming"/>
    <s v="Entertainment"/>
    <s v="Discretionary"/>
    <x v="4"/>
    <n v="-35"/>
    <x v="4"/>
    <x v="1"/>
    <x v="33"/>
    <n v="-35"/>
    <s v="Spenting"/>
  </r>
  <r>
    <x v="206"/>
    <x v="0"/>
    <s v="Drink"/>
    <s v="Coffee"/>
    <s v="Dining Out"/>
    <x v="1"/>
    <n v="-5"/>
    <x v="1"/>
    <x v="1"/>
    <x v="1"/>
    <n v="-5"/>
    <s v="Spenting"/>
  </r>
  <r>
    <x v="207"/>
    <x v="0"/>
    <s v="Drink"/>
    <s v="Coffee"/>
    <s v="Dining Out"/>
    <x v="1"/>
    <n v="-5"/>
    <x v="1"/>
    <x v="1"/>
    <x v="1"/>
    <n v="-5"/>
    <s v="Spenting"/>
  </r>
  <r>
    <x v="208"/>
    <x v="0"/>
    <s v="Drink"/>
    <s v="Coffee"/>
    <s v="Dining Out"/>
    <x v="1"/>
    <n v="-5"/>
    <x v="1"/>
    <x v="1"/>
    <x v="1"/>
    <n v="-5"/>
    <s v="Spenting"/>
  </r>
  <r>
    <x v="208"/>
    <x v="0"/>
    <s v="Green's"/>
    <s v="Groceries"/>
    <s v="Living Expenses"/>
    <x v="1"/>
    <n v="-177"/>
    <x v="1"/>
    <x v="1"/>
    <x v="135"/>
    <n v="-177"/>
    <s v="Spenting"/>
  </r>
  <r>
    <x v="209"/>
    <x v="0"/>
    <s v="Suya"/>
    <s v="Restaurant"/>
    <s v="Dining Out"/>
    <x v="1"/>
    <n v="-44.2"/>
    <x v="1"/>
    <x v="1"/>
    <x v="136"/>
    <n v="-44.2"/>
    <s v="Spenting"/>
  </r>
  <r>
    <x v="210"/>
    <x v="0"/>
    <s v="Oha soup/White soup"/>
    <s v="Restaurant"/>
    <s v="Dining Out"/>
    <x v="1"/>
    <n v="-19.2"/>
    <x v="1"/>
    <x v="1"/>
    <x v="137"/>
    <n v="-19.2"/>
    <s v="Spenting"/>
  </r>
  <r>
    <x v="211"/>
    <x v="0"/>
    <s v="Orphanage"/>
    <s v="Donation"/>
    <s v="Charity"/>
    <x v="5"/>
    <n v="-55"/>
    <x v="1"/>
    <x v="1"/>
    <x v="17"/>
    <n v="-55"/>
    <s v="Spenting"/>
  </r>
  <r>
    <x v="211"/>
    <x v="0"/>
    <s v="Fuel"/>
    <s v="Fueling"/>
    <s v="Transport"/>
    <x v="6"/>
    <n v="-69.700000000000017"/>
    <x v="4"/>
    <x v="1"/>
    <x v="138"/>
    <n v="-69.700000000000017"/>
    <s v="Spenting"/>
  </r>
  <r>
    <x v="211"/>
    <x v="0"/>
    <s v="Drink"/>
    <s v="Coffee"/>
    <s v="Dining Out"/>
    <x v="1"/>
    <n v="-5"/>
    <x v="1"/>
    <x v="1"/>
    <x v="1"/>
    <n v="-5"/>
    <s v="Spenting"/>
  </r>
  <r>
    <x v="212"/>
    <x v="0"/>
    <s v="Drink"/>
    <s v="Coffee"/>
    <s v="Dining Out"/>
    <x v="1"/>
    <n v="-5"/>
    <x v="1"/>
    <x v="1"/>
    <x v="1"/>
    <n v="-5"/>
    <s v="Spenting"/>
  </r>
  <r>
    <x v="213"/>
    <x v="0"/>
    <s v="Drink"/>
    <s v="Coffee"/>
    <s v="Dining Out"/>
    <x v="1"/>
    <n v="-5"/>
    <x v="1"/>
    <x v="1"/>
    <x v="1"/>
    <n v="-5"/>
    <s v="Spenting"/>
  </r>
  <r>
    <x v="214"/>
    <x v="0"/>
    <s v="Drink"/>
    <s v="Coffee"/>
    <s v="Dining Out"/>
    <x v="1"/>
    <n v="-5"/>
    <x v="1"/>
    <x v="1"/>
    <x v="1"/>
    <n v="-5"/>
    <s v="Spenting"/>
  </r>
  <r>
    <x v="215"/>
    <x v="0"/>
    <s v="Drink"/>
    <s v="Coffee"/>
    <s v="Dining Out"/>
    <x v="1"/>
    <n v="-5"/>
    <x v="1"/>
    <x v="1"/>
    <x v="1"/>
    <n v="-5"/>
    <s v="Spenting"/>
  </r>
  <r>
    <x v="215"/>
    <x v="0"/>
    <s v="Green's"/>
    <s v="Groceries"/>
    <s v="Living Expenses"/>
    <x v="1"/>
    <n v="-117"/>
    <x v="1"/>
    <x v="1"/>
    <x v="139"/>
    <n v="-117"/>
    <s v="Spenting"/>
  </r>
  <r>
    <x v="216"/>
    <x v="0"/>
    <s v="Trainers"/>
    <s v="Clothes"/>
    <s v="Discretionary"/>
    <x v="5"/>
    <n v="-131.9"/>
    <x v="1"/>
    <x v="1"/>
    <x v="140"/>
    <n v="-131.9"/>
    <s v="Spenting"/>
  </r>
  <r>
    <x v="216"/>
    <x v="0"/>
    <s v="Hangingout/Ticket"/>
    <s v="Entertainment"/>
    <s v="Discretionary"/>
    <x v="4"/>
    <n v="-182.39999999999998"/>
    <x v="4"/>
    <x v="1"/>
    <x v="141"/>
    <n v="-182.39999999999998"/>
    <s v="Spenting"/>
  </r>
  <r>
    <x v="217"/>
    <x v="0"/>
    <s v="Fashionistas"/>
    <s v="Clothes"/>
    <s v="Discretionary"/>
    <x v="5"/>
    <n v="-152.29999999999998"/>
    <x v="1"/>
    <x v="1"/>
    <x v="142"/>
    <n v="-152.29999999999998"/>
    <s v="Spenting"/>
  </r>
  <r>
    <x v="217"/>
    <x v="0"/>
    <s v="Uba"/>
    <s v="Taxi"/>
    <s v="Transport"/>
    <x v="6"/>
    <n v="-30.300000000000004"/>
    <x v="4"/>
    <x v="1"/>
    <x v="143"/>
    <n v="-30.300000000000004"/>
    <s v="Spenting"/>
  </r>
  <r>
    <x v="217"/>
    <x v="0"/>
    <s v="Foodary"/>
    <s v="Restaurant"/>
    <s v="Dining Out"/>
    <x v="1"/>
    <n v="-15"/>
    <x v="1"/>
    <x v="1"/>
    <x v="61"/>
    <n v="-15"/>
    <s v="Spenting"/>
  </r>
  <r>
    <x v="218"/>
    <x v="0"/>
    <s v="Drink"/>
    <s v="Coffee"/>
    <s v="Dining Out"/>
    <x v="1"/>
    <n v="-5"/>
    <x v="1"/>
    <x v="1"/>
    <x v="1"/>
    <n v="-5"/>
    <s v="Spenting"/>
  </r>
  <r>
    <x v="219"/>
    <x v="0"/>
    <s v="Drink"/>
    <s v="Coffee"/>
    <s v="Dining Out"/>
    <x v="1"/>
    <n v="-5"/>
    <x v="1"/>
    <x v="1"/>
    <x v="1"/>
    <n v="-5"/>
    <s v="Spenting"/>
  </r>
  <r>
    <x v="219"/>
    <x v="0"/>
    <s v="Data With Decision"/>
    <s v="Data with Decision"/>
    <s v="Salary"/>
    <x v="0"/>
    <n v="5000"/>
    <x v="0"/>
    <x v="0"/>
    <x v="0"/>
    <n v="5000"/>
    <s v="Saving"/>
  </r>
  <r>
    <x v="220"/>
    <x v="0"/>
    <s v="Drink"/>
    <s v="Coffee"/>
    <s v="Dining Out"/>
    <x v="1"/>
    <n v="-5"/>
    <x v="1"/>
    <x v="1"/>
    <x v="1"/>
    <n v="-5"/>
    <s v="Spenting"/>
  </r>
  <r>
    <x v="221"/>
    <x v="0"/>
    <s v="Estate Mangement"/>
    <s v="Rent"/>
    <s v="Living Expenses"/>
    <x v="2"/>
    <n v="-900"/>
    <x v="2"/>
    <x v="1"/>
    <x v="2"/>
    <n v="-900"/>
    <s v="Spenting"/>
  </r>
  <r>
    <x v="221"/>
    <x v="0"/>
    <s v="Financail upgrade"/>
    <s v="Cash loan"/>
    <s v="Transport"/>
    <x v="3"/>
    <n v="-150"/>
    <x v="3"/>
    <x v="1"/>
    <x v="3"/>
    <n v="-150"/>
    <s v="Spenting"/>
  </r>
  <r>
    <x v="221"/>
    <x v="0"/>
    <s v="Drink"/>
    <s v="Coffee"/>
    <s v="Dining Out"/>
    <x v="1"/>
    <n v="-5"/>
    <x v="1"/>
    <x v="1"/>
    <x v="1"/>
    <n v="-5"/>
    <s v="Spenting"/>
  </r>
  <r>
    <x v="221"/>
    <x v="0"/>
    <s v="Drink"/>
    <s v="Coffee"/>
    <s v="Dining Out"/>
    <x v="1"/>
    <n v="-5"/>
    <x v="1"/>
    <x v="1"/>
    <x v="1"/>
    <n v="-5"/>
    <s v="Spenting"/>
  </r>
  <r>
    <x v="222"/>
    <x v="0"/>
    <s v="Drink"/>
    <s v="Coffee"/>
    <s v="Dining Out"/>
    <x v="1"/>
    <n v="-5"/>
    <x v="1"/>
    <x v="1"/>
    <x v="1"/>
    <n v="-5"/>
    <s v="Spenting"/>
  </r>
  <r>
    <x v="223"/>
    <x v="0"/>
    <s v="Drink"/>
    <s v="Coffee"/>
    <s v="Dining Out"/>
    <x v="1"/>
    <n v="-5"/>
    <x v="1"/>
    <x v="1"/>
    <x v="1"/>
    <n v="-5"/>
    <s v="Spenting"/>
  </r>
  <r>
    <x v="223"/>
    <x v="0"/>
    <s v="Green's"/>
    <s v="Groceries"/>
    <s v="Living Expenses"/>
    <x v="1"/>
    <n v="-163.39999999999998"/>
    <x v="1"/>
    <x v="1"/>
    <x v="144"/>
    <n v="-163.39999999999998"/>
    <s v="Spenting"/>
  </r>
  <r>
    <x v="224"/>
    <x v="0"/>
    <s v="Power source"/>
    <s v="Gas/Electrics"/>
    <s v="Living Expenses"/>
    <x v="1"/>
    <n v="-58.1"/>
    <x v="1"/>
    <x v="1"/>
    <x v="145"/>
    <n v="-58.1"/>
    <s v="Spenting"/>
  </r>
  <r>
    <x v="224"/>
    <x v="0"/>
    <s v="Drink"/>
    <s v="Coffee"/>
    <s v="Dining Out"/>
    <x v="1"/>
    <n v="-5"/>
    <x v="1"/>
    <x v="1"/>
    <x v="1"/>
    <n v="-5"/>
    <s v="Spenting"/>
  </r>
  <r>
    <x v="225"/>
    <x v="0"/>
    <s v="Drink"/>
    <s v="Coffee"/>
    <s v="Dining Out"/>
    <x v="1"/>
    <n v="-5"/>
    <x v="1"/>
    <x v="1"/>
    <x v="1"/>
    <n v="-5"/>
    <s v="Spenting"/>
  </r>
  <r>
    <x v="226"/>
    <x v="0"/>
    <s v="Fuel"/>
    <s v="Fueling"/>
    <s v="Transport"/>
    <x v="6"/>
    <n v="-85.299999999999983"/>
    <x v="4"/>
    <x v="1"/>
    <x v="146"/>
    <n v="-85.299999999999983"/>
    <s v="Spenting"/>
  </r>
  <r>
    <x v="226"/>
    <x v="0"/>
    <s v="Drink"/>
    <s v="Coffee"/>
    <s v="Dining Out"/>
    <x v="1"/>
    <n v="-5"/>
    <x v="1"/>
    <x v="1"/>
    <x v="1"/>
    <n v="-5"/>
    <s v="Spenting"/>
  </r>
  <r>
    <x v="227"/>
    <x v="0"/>
    <s v="Drink"/>
    <s v="Coffee"/>
    <s v="Dining Out"/>
    <x v="1"/>
    <n v="-5"/>
    <x v="1"/>
    <x v="1"/>
    <x v="1"/>
    <n v="-5"/>
    <s v="Spenting"/>
  </r>
  <r>
    <x v="228"/>
    <x v="0"/>
    <s v="Green's"/>
    <s v="Groceries"/>
    <s v="Living Expenses"/>
    <x v="1"/>
    <n v="-143"/>
    <x v="1"/>
    <x v="1"/>
    <x v="147"/>
    <n v="-143"/>
    <s v="Spenting"/>
  </r>
  <r>
    <x v="228"/>
    <x v="0"/>
    <s v="Drink"/>
    <s v="Coffee"/>
    <s v="Dining Out"/>
    <x v="1"/>
    <n v="-5"/>
    <x v="1"/>
    <x v="1"/>
    <x v="1"/>
    <n v="-5"/>
    <s v="Spenting"/>
  </r>
  <r>
    <x v="229"/>
    <x v="0"/>
    <s v="Drink"/>
    <s v="Coffee"/>
    <s v="Dining Out"/>
    <x v="1"/>
    <n v="-5"/>
    <x v="1"/>
    <x v="1"/>
    <x v="1"/>
    <n v="-5"/>
    <s v="Spenting"/>
  </r>
  <r>
    <x v="229"/>
    <x v="0"/>
    <s v="Cinemas"/>
    <s v="Entertainment"/>
    <s v="Discretionary"/>
    <x v="4"/>
    <n v="-47.8"/>
    <x v="4"/>
    <x v="1"/>
    <x v="148"/>
    <n v="-47.8"/>
    <s v="Spenting"/>
  </r>
  <r>
    <x v="229"/>
    <x v="0"/>
    <s v="Fashionistas"/>
    <s v="Clothes"/>
    <s v="Discretionary"/>
    <x v="5"/>
    <n v="-105.80000000000001"/>
    <x v="1"/>
    <x v="1"/>
    <x v="149"/>
    <n v="-105.80000000000001"/>
    <s v="Spenting"/>
  </r>
  <r>
    <x v="229"/>
    <x v="0"/>
    <s v="Burger"/>
    <s v="Restaurant"/>
    <s v="Dining Out"/>
    <x v="1"/>
    <n v="-60.1"/>
    <x v="1"/>
    <x v="1"/>
    <x v="150"/>
    <n v="-60.1"/>
    <s v="Spenting"/>
  </r>
  <r>
    <x v="230"/>
    <x v="0"/>
    <s v="Uba"/>
    <s v="Taxi"/>
    <s v="Transport"/>
    <x v="6"/>
    <n v="-36.200000000000003"/>
    <x v="4"/>
    <x v="1"/>
    <x v="151"/>
    <n v="-36.200000000000003"/>
    <s v="Spenting"/>
  </r>
  <r>
    <x v="231"/>
    <x v="0"/>
    <s v="Onlne earning"/>
    <s v="YouTube"/>
    <s v="Passive"/>
    <x v="7"/>
    <n v="100"/>
    <x v="0"/>
    <x v="6"/>
    <x v="0"/>
    <n v="100"/>
    <s v="Saving"/>
  </r>
  <r>
    <x v="231"/>
    <x v="0"/>
    <s v="Drink"/>
    <s v="Coffee"/>
    <s v="Dining Out"/>
    <x v="1"/>
    <n v="-5"/>
    <x v="1"/>
    <x v="1"/>
    <x v="1"/>
    <n v="-5"/>
    <s v="Spenting"/>
  </r>
  <r>
    <x v="232"/>
    <x v="0"/>
    <s v="Drink"/>
    <s v="Coffee"/>
    <s v="Dining Out"/>
    <x v="1"/>
    <n v="-5"/>
    <x v="1"/>
    <x v="1"/>
    <x v="1"/>
    <n v="-5"/>
    <s v="Spenting"/>
  </r>
  <r>
    <x v="232"/>
    <x v="0"/>
    <s v="Phone"/>
    <s v="Phone"/>
    <s v="Living Expenses"/>
    <x v="8"/>
    <n v="-40"/>
    <x v="2"/>
    <x v="1"/>
    <x v="8"/>
    <n v="-40"/>
    <s v="Spenting"/>
  </r>
  <r>
    <x v="233"/>
    <x v="0"/>
    <s v="Sallah give away"/>
    <s v="Gifts"/>
    <s v="Discretionary"/>
    <x v="5"/>
    <n v="-53"/>
    <x v="1"/>
    <x v="1"/>
    <x v="30"/>
    <n v="-53"/>
    <s v="Spenting"/>
  </r>
  <r>
    <x v="233"/>
    <x v="0"/>
    <s v="Online streaming"/>
    <s v="Entertainment"/>
    <s v="Discretionary"/>
    <x v="4"/>
    <n v="-35"/>
    <x v="4"/>
    <x v="1"/>
    <x v="33"/>
    <n v="-35"/>
    <s v="Spenting"/>
  </r>
  <r>
    <x v="233"/>
    <x v="0"/>
    <s v="Drink"/>
    <s v="Coffee"/>
    <s v="Dining Out"/>
    <x v="1"/>
    <n v="-5"/>
    <x v="1"/>
    <x v="1"/>
    <x v="1"/>
    <n v="-5"/>
    <s v="Spenting"/>
  </r>
  <r>
    <x v="234"/>
    <x v="0"/>
    <s v="Drink"/>
    <s v="Coffee"/>
    <s v="Dining Out"/>
    <x v="1"/>
    <n v="-5"/>
    <x v="1"/>
    <x v="1"/>
    <x v="1"/>
    <n v="-5"/>
    <s v="Spenting"/>
  </r>
  <r>
    <x v="235"/>
    <x v="0"/>
    <s v="Drink"/>
    <s v="Coffee"/>
    <s v="Dining Out"/>
    <x v="1"/>
    <n v="-5"/>
    <x v="1"/>
    <x v="1"/>
    <x v="1"/>
    <n v="-5"/>
    <s v="Spenting"/>
  </r>
  <r>
    <x v="235"/>
    <x v="0"/>
    <s v="Green's"/>
    <s v="Groceries"/>
    <s v="Living Expenses"/>
    <x v="1"/>
    <n v="-177.9"/>
    <x v="1"/>
    <x v="1"/>
    <x v="152"/>
    <n v="-177.9"/>
    <s v="Spenting"/>
  </r>
  <r>
    <x v="236"/>
    <x v="0"/>
    <s v="Suya"/>
    <s v="Restaurant"/>
    <s v="Dining Out"/>
    <x v="1"/>
    <n v="-45.300000000000004"/>
    <x v="1"/>
    <x v="1"/>
    <x v="153"/>
    <n v="-45.300000000000004"/>
    <s v="Spenting"/>
  </r>
  <r>
    <x v="237"/>
    <x v="0"/>
    <s v="Oha soup/White soup"/>
    <s v="Restaurant"/>
    <s v="Dining Out"/>
    <x v="1"/>
    <n v="-20.099999999999998"/>
    <x v="1"/>
    <x v="1"/>
    <x v="154"/>
    <n v="-20.099999999999998"/>
    <s v="Spenting"/>
  </r>
  <r>
    <x v="238"/>
    <x v="0"/>
    <s v="Orphanage"/>
    <s v="Donation"/>
    <s v="Charity"/>
    <x v="5"/>
    <n v="-55"/>
    <x v="1"/>
    <x v="1"/>
    <x v="17"/>
    <n v="-55"/>
    <s v="Spenting"/>
  </r>
  <r>
    <x v="238"/>
    <x v="0"/>
    <s v="Fuel"/>
    <s v="Fueling"/>
    <s v="Transport"/>
    <x v="6"/>
    <n v="-70.600000000000023"/>
    <x v="4"/>
    <x v="1"/>
    <x v="155"/>
    <n v="-70.600000000000023"/>
    <s v="Spenting"/>
  </r>
  <r>
    <x v="238"/>
    <x v="0"/>
    <s v="Drink"/>
    <s v="Coffee"/>
    <s v="Dining Out"/>
    <x v="1"/>
    <n v="-5"/>
    <x v="1"/>
    <x v="1"/>
    <x v="1"/>
    <n v="-5"/>
    <s v="Spenting"/>
  </r>
  <r>
    <x v="239"/>
    <x v="0"/>
    <s v="Drink"/>
    <s v="Coffee"/>
    <s v="Dining Out"/>
    <x v="1"/>
    <n v="-5"/>
    <x v="1"/>
    <x v="1"/>
    <x v="1"/>
    <n v="-5"/>
    <s v="Spenting"/>
  </r>
  <r>
    <x v="240"/>
    <x v="0"/>
    <s v="Drink"/>
    <s v="Coffee"/>
    <s v="Dining Out"/>
    <x v="1"/>
    <n v="-5"/>
    <x v="1"/>
    <x v="1"/>
    <x v="1"/>
    <n v="-5"/>
    <s v="Spenting"/>
  </r>
  <r>
    <x v="241"/>
    <x v="0"/>
    <s v="Drink"/>
    <s v="Coffee"/>
    <s v="Dining Out"/>
    <x v="1"/>
    <n v="-5"/>
    <x v="1"/>
    <x v="1"/>
    <x v="1"/>
    <n v="-5"/>
    <s v="Spenting"/>
  </r>
  <r>
    <x v="242"/>
    <x v="0"/>
    <s v="Drink"/>
    <s v="Coffee"/>
    <s v="Dining Out"/>
    <x v="1"/>
    <n v="-5"/>
    <x v="1"/>
    <x v="1"/>
    <x v="1"/>
    <n v="-5"/>
    <s v="Spenting"/>
  </r>
  <r>
    <x v="242"/>
    <x v="0"/>
    <s v="Green's"/>
    <s v="Groceries"/>
    <s v="Living Expenses"/>
    <x v="1"/>
    <n v="-223"/>
    <x v="1"/>
    <x v="1"/>
    <x v="156"/>
    <n v="-223"/>
    <s v="Spenting"/>
  </r>
  <r>
    <x v="243"/>
    <x v="0"/>
    <s v="Trainers"/>
    <s v="Clothes"/>
    <s v="Discretionary"/>
    <x v="5"/>
    <n v="-132.9"/>
    <x v="1"/>
    <x v="1"/>
    <x v="157"/>
    <n v="-132.9"/>
    <s v="Spenting"/>
  </r>
  <r>
    <x v="243"/>
    <x v="0"/>
    <s v="Global Fashion"/>
    <s v="Clothes"/>
    <s v="Discretionary"/>
    <x v="5"/>
    <n v="-175"/>
    <x v="1"/>
    <x v="1"/>
    <x v="21"/>
    <n v="-175"/>
    <s v="Spenting"/>
  </r>
  <r>
    <x v="244"/>
    <x v="0"/>
    <s v="Fashionistas"/>
    <s v="Clothes"/>
    <s v="Discretionary"/>
    <x v="5"/>
    <n v="-153.39999999999998"/>
    <x v="1"/>
    <x v="1"/>
    <x v="158"/>
    <n v="-153.39999999999998"/>
    <s v="Spenting"/>
  </r>
  <r>
    <x v="244"/>
    <x v="0"/>
    <s v="Uba"/>
    <s v="Taxi"/>
    <s v="Transport"/>
    <x v="6"/>
    <n v="-31.200000000000003"/>
    <x v="4"/>
    <x v="1"/>
    <x v="159"/>
    <n v="-31.200000000000003"/>
    <s v="Spenting"/>
  </r>
  <r>
    <x v="244"/>
    <x v="0"/>
    <s v="Foodary"/>
    <s v="Restaurant"/>
    <s v="Dining Out"/>
    <x v="1"/>
    <n v="-15"/>
    <x v="1"/>
    <x v="1"/>
    <x v="61"/>
    <n v="-15"/>
    <s v="Spenting"/>
  </r>
  <r>
    <x v="245"/>
    <x v="0"/>
    <s v="Drink"/>
    <s v="Coffee"/>
    <s v="Dining Out"/>
    <x v="1"/>
    <n v="-5"/>
    <x v="1"/>
    <x v="1"/>
    <x v="1"/>
    <n v="-5"/>
    <s v="Spenting"/>
  </r>
  <r>
    <x v="246"/>
    <x v="0"/>
    <s v="Drink"/>
    <s v="Coffee"/>
    <s v="Dining Out"/>
    <x v="1"/>
    <n v="-5"/>
    <x v="1"/>
    <x v="1"/>
    <x v="1"/>
    <n v="-5"/>
    <s v="Spenting"/>
  </r>
  <r>
    <x v="246"/>
    <x v="0"/>
    <s v="Data With Decision"/>
    <s v="Data with Decision"/>
    <s v="Salary"/>
    <x v="0"/>
    <n v="5000"/>
    <x v="0"/>
    <x v="0"/>
    <x v="0"/>
    <n v="5000"/>
    <s v="Saving"/>
  </r>
  <r>
    <x v="247"/>
    <x v="0"/>
    <s v="Drink"/>
    <s v="Coffee"/>
    <s v="Dining Out"/>
    <x v="1"/>
    <n v="-5"/>
    <x v="1"/>
    <x v="1"/>
    <x v="1"/>
    <n v="-5"/>
    <s v="Spenting"/>
  </r>
  <r>
    <x v="248"/>
    <x v="0"/>
    <s v="Estate Mangement"/>
    <s v="Rent"/>
    <s v="Living Expenses"/>
    <x v="2"/>
    <n v="-900"/>
    <x v="2"/>
    <x v="1"/>
    <x v="2"/>
    <n v="-900"/>
    <s v="Spenting"/>
  </r>
  <r>
    <x v="248"/>
    <x v="0"/>
    <s v="Financail upgrade"/>
    <s v="Cash loan"/>
    <s v="Transport"/>
    <x v="3"/>
    <n v="-150"/>
    <x v="3"/>
    <x v="1"/>
    <x v="3"/>
    <n v="-150"/>
    <s v="Spenting"/>
  </r>
  <r>
    <x v="248"/>
    <x v="0"/>
    <s v="Drink"/>
    <s v="Coffee"/>
    <s v="Dining Out"/>
    <x v="1"/>
    <n v="-5"/>
    <x v="1"/>
    <x v="1"/>
    <x v="1"/>
    <n v="-5"/>
    <s v="Spenting"/>
  </r>
  <r>
    <x v="248"/>
    <x v="0"/>
    <s v="Drink"/>
    <s v="Coffee"/>
    <s v="Dining Out"/>
    <x v="1"/>
    <n v="-5"/>
    <x v="1"/>
    <x v="1"/>
    <x v="1"/>
    <n v="-5"/>
    <s v="Spenting"/>
  </r>
  <r>
    <x v="249"/>
    <x v="0"/>
    <s v="Drink"/>
    <s v="Coffee"/>
    <s v="Dining Out"/>
    <x v="1"/>
    <n v="-5"/>
    <x v="1"/>
    <x v="1"/>
    <x v="1"/>
    <n v="-5"/>
    <s v="Spenting"/>
  </r>
  <r>
    <x v="250"/>
    <x v="0"/>
    <s v="Drink"/>
    <s v="Coffee"/>
    <s v="Dining Out"/>
    <x v="1"/>
    <n v="-5"/>
    <x v="1"/>
    <x v="1"/>
    <x v="1"/>
    <n v="-5"/>
    <s v="Spenting"/>
  </r>
  <r>
    <x v="250"/>
    <x v="0"/>
    <s v="Green's"/>
    <s v="Groceries"/>
    <s v="Living Expenses"/>
    <x v="1"/>
    <n v="-105"/>
    <x v="1"/>
    <x v="1"/>
    <x v="160"/>
    <n v="-105"/>
    <s v="Spenting"/>
  </r>
  <r>
    <x v="251"/>
    <x v="0"/>
    <s v="Power source"/>
    <s v="Gas/Electrics"/>
    <s v="Living Expenses"/>
    <x v="1"/>
    <n v="-59"/>
    <x v="1"/>
    <x v="1"/>
    <x v="161"/>
    <n v="-59"/>
    <s v="Spenting"/>
  </r>
  <r>
    <x v="251"/>
    <x v="0"/>
    <s v="Drink"/>
    <s v="Coffee"/>
    <s v="Dining Out"/>
    <x v="1"/>
    <n v="-5"/>
    <x v="1"/>
    <x v="1"/>
    <x v="1"/>
    <n v="-5"/>
    <s v="Spenting"/>
  </r>
  <r>
    <x v="252"/>
    <x v="0"/>
    <s v="Drink"/>
    <s v="Coffee"/>
    <s v="Dining Out"/>
    <x v="1"/>
    <n v="-5"/>
    <x v="1"/>
    <x v="1"/>
    <x v="1"/>
    <n v="-5"/>
    <s v="Spenting"/>
  </r>
  <r>
    <x v="253"/>
    <x v="0"/>
    <s v="Fuel"/>
    <s v="Fueling"/>
    <s v="Transport"/>
    <x v="6"/>
    <n v="-86.399999999999977"/>
    <x v="4"/>
    <x v="1"/>
    <x v="162"/>
    <n v="-86.399999999999977"/>
    <s v="Spenting"/>
  </r>
  <r>
    <x v="253"/>
    <x v="0"/>
    <s v="Drink"/>
    <s v="Coffee"/>
    <s v="Dining Out"/>
    <x v="1"/>
    <n v="-5"/>
    <x v="1"/>
    <x v="1"/>
    <x v="1"/>
    <n v="-5"/>
    <s v="Spenting"/>
  </r>
  <r>
    <x v="254"/>
    <x v="0"/>
    <s v="Drink"/>
    <s v="Coffee"/>
    <s v="Dining Out"/>
    <x v="1"/>
    <n v="-5"/>
    <x v="1"/>
    <x v="1"/>
    <x v="1"/>
    <n v="-5"/>
    <s v="Spenting"/>
  </r>
  <r>
    <x v="255"/>
    <x v="0"/>
    <s v="Green's"/>
    <s v="Groceries"/>
    <s v="Living Expenses"/>
    <x v="1"/>
    <n v="-143.9"/>
    <x v="1"/>
    <x v="1"/>
    <x v="163"/>
    <n v="-143.9"/>
    <s v="Spenting"/>
  </r>
  <r>
    <x v="255"/>
    <x v="0"/>
    <s v="Drink"/>
    <s v="Coffee"/>
    <s v="Dining Out"/>
    <x v="1"/>
    <n v="-5"/>
    <x v="1"/>
    <x v="1"/>
    <x v="1"/>
    <n v="-5"/>
    <s v="Spenting"/>
  </r>
  <r>
    <x v="256"/>
    <x v="0"/>
    <s v="Drink"/>
    <s v="Coffee"/>
    <s v="Dining Out"/>
    <x v="1"/>
    <n v="-5"/>
    <x v="1"/>
    <x v="1"/>
    <x v="1"/>
    <n v="-5"/>
    <s v="Spenting"/>
  </r>
  <r>
    <x v="256"/>
    <x v="0"/>
    <s v="Cinemas"/>
    <s v="Entertainment"/>
    <s v="Discretionary"/>
    <x v="4"/>
    <n v="-48.8"/>
    <x v="4"/>
    <x v="1"/>
    <x v="164"/>
    <n v="-48.8"/>
    <s v="Spenting"/>
  </r>
  <r>
    <x v="256"/>
    <x v="0"/>
    <s v="Fashionistas"/>
    <s v="Clothes"/>
    <s v="Discretionary"/>
    <x v="5"/>
    <n v="-106.70000000000002"/>
    <x v="1"/>
    <x v="1"/>
    <x v="165"/>
    <n v="-106.70000000000002"/>
    <s v="Spenting"/>
  </r>
  <r>
    <x v="256"/>
    <x v="0"/>
    <s v="Burger"/>
    <s v="Restaurant"/>
    <s v="Dining Out"/>
    <x v="1"/>
    <n v="-61.1"/>
    <x v="1"/>
    <x v="1"/>
    <x v="166"/>
    <n v="-61.1"/>
    <s v="Spenting"/>
  </r>
  <r>
    <x v="257"/>
    <x v="0"/>
    <s v="Uba"/>
    <s v="Taxi"/>
    <s v="Transport"/>
    <x v="6"/>
    <n v="-37.200000000000003"/>
    <x v="4"/>
    <x v="1"/>
    <x v="167"/>
    <n v="-37.200000000000003"/>
    <s v="Spenting"/>
  </r>
  <r>
    <x v="258"/>
    <x v="0"/>
    <s v="Onlne earning"/>
    <s v="YouTube"/>
    <s v="Passive"/>
    <x v="7"/>
    <n v="100"/>
    <x v="0"/>
    <x v="6"/>
    <x v="0"/>
    <n v="100"/>
    <s v="Saving"/>
  </r>
  <r>
    <x v="258"/>
    <x v="0"/>
    <s v="Drink"/>
    <s v="Coffee"/>
    <s v="Dining Out"/>
    <x v="1"/>
    <n v="-5"/>
    <x v="1"/>
    <x v="1"/>
    <x v="1"/>
    <n v="-5"/>
    <s v="Spenting"/>
  </r>
  <r>
    <x v="259"/>
    <x v="0"/>
    <s v="Drink"/>
    <s v="Coffee"/>
    <s v="Dining Out"/>
    <x v="1"/>
    <n v="-5"/>
    <x v="1"/>
    <x v="1"/>
    <x v="1"/>
    <n v="-5"/>
    <s v="Spenting"/>
  </r>
  <r>
    <x v="259"/>
    <x v="0"/>
    <s v="Taken medication"/>
    <s v="Doctor"/>
    <s v="Medical"/>
    <x v="9"/>
    <n v="-75"/>
    <x v="4"/>
    <x v="1"/>
    <x v="50"/>
    <n v="-75"/>
    <s v="Spenting"/>
  </r>
  <r>
    <x v="259"/>
    <x v="0"/>
    <s v="Phone"/>
    <s v="Phone"/>
    <s v="Living Expenses"/>
    <x v="8"/>
    <n v="-40"/>
    <x v="2"/>
    <x v="1"/>
    <x v="8"/>
    <n v="-40"/>
    <s v="Spenting"/>
  </r>
  <r>
    <x v="260"/>
    <x v="0"/>
    <s v="Sallah give away"/>
    <s v="Gifts"/>
    <s v="Discretionary"/>
    <x v="5"/>
    <n v="-54.1"/>
    <x v="1"/>
    <x v="1"/>
    <x v="79"/>
    <n v="-54.1"/>
    <s v="Spenting"/>
  </r>
  <r>
    <x v="260"/>
    <x v="0"/>
    <s v="Online streaming"/>
    <s v="Entertainment"/>
    <s v="Discretionary"/>
    <x v="4"/>
    <n v="-35"/>
    <x v="4"/>
    <x v="1"/>
    <x v="33"/>
    <n v="-35"/>
    <s v="Spenting"/>
  </r>
  <r>
    <x v="260"/>
    <x v="0"/>
    <s v="Drink"/>
    <s v="Coffee"/>
    <s v="Dining Out"/>
    <x v="1"/>
    <n v="-5"/>
    <x v="1"/>
    <x v="1"/>
    <x v="1"/>
    <n v="-5"/>
    <s v="Spenting"/>
  </r>
  <r>
    <x v="261"/>
    <x v="0"/>
    <s v="Drink"/>
    <s v="Coffee"/>
    <s v="Dining Out"/>
    <x v="1"/>
    <n v="-5"/>
    <x v="1"/>
    <x v="1"/>
    <x v="1"/>
    <n v="-5"/>
    <s v="Spenting"/>
  </r>
  <r>
    <x v="262"/>
    <x v="0"/>
    <s v="Drink"/>
    <s v="Coffee"/>
    <s v="Dining Out"/>
    <x v="1"/>
    <n v="-5"/>
    <x v="1"/>
    <x v="1"/>
    <x v="1"/>
    <n v="-5"/>
    <s v="Spenting"/>
  </r>
  <r>
    <x v="262"/>
    <x v="0"/>
    <s v="Green's"/>
    <s v="Groceries"/>
    <s v="Living Expenses"/>
    <x v="1"/>
    <n v="-178.9"/>
    <x v="1"/>
    <x v="1"/>
    <x v="168"/>
    <n v="-178.9"/>
    <s v="Spenting"/>
  </r>
  <r>
    <x v="263"/>
    <x v="0"/>
    <s v="Suya"/>
    <s v="Restaurant"/>
    <s v="Dining Out"/>
    <x v="1"/>
    <n v="-46.2"/>
    <x v="1"/>
    <x v="1"/>
    <x v="169"/>
    <n v="-46.2"/>
    <s v="Spenting"/>
  </r>
  <r>
    <x v="264"/>
    <x v="0"/>
    <s v="Oha soup/White soup"/>
    <s v="Restaurant"/>
    <s v="Dining Out"/>
    <x v="1"/>
    <n v="-21.099999999999998"/>
    <x v="1"/>
    <x v="1"/>
    <x v="170"/>
    <n v="-21.099999999999998"/>
    <s v="Spenting"/>
  </r>
  <r>
    <x v="265"/>
    <x v="0"/>
    <s v="Orphanage"/>
    <s v="Donation"/>
    <s v="Charity"/>
    <x v="5"/>
    <n v="-55"/>
    <x v="1"/>
    <x v="1"/>
    <x v="17"/>
    <n v="-55"/>
    <s v="Spenting"/>
  </r>
  <r>
    <x v="265"/>
    <x v="0"/>
    <s v="Fuel"/>
    <s v="Fueling"/>
    <s v="Transport"/>
    <x v="6"/>
    <n v="-71.500000000000028"/>
    <x v="4"/>
    <x v="1"/>
    <x v="171"/>
    <n v="-71.500000000000028"/>
    <s v="Spenting"/>
  </r>
  <r>
    <x v="265"/>
    <x v="0"/>
    <s v="Drink"/>
    <s v="Coffee"/>
    <s v="Dining Out"/>
    <x v="1"/>
    <n v="-5"/>
    <x v="1"/>
    <x v="1"/>
    <x v="1"/>
    <n v="-5"/>
    <s v="Spenting"/>
  </r>
  <r>
    <x v="266"/>
    <x v="0"/>
    <s v="Drink"/>
    <s v="Coffee"/>
    <s v="Dining Out"/>
    <x v="1"/>
    <n v="-5"/>
    <x v="1"/>
    <x v="1"/>
    <x v="1"/>
    <n v="-5"/>
    <s v="Spenting"/>
  </r>
  <r>
    <x v="267"/>
    <x v="0"/>
    <s v="Drink"/>
    <s v="Coffee"/>
    <s v="Dining Out"/>
    <x v="1"/>
    <n v="-5"/>
    <x v="1"/>
    <x v="1"/>
    <x v="1"/>
    <n v="-5"/>
    <s v="Spenting"/>
  </r>
  <r>
    <x v="268"/>
    <x v="0"/>
    <s v="Drink"/>
    <s v="Coffee"/>
    <s v="Dining Out"/>
    <x v="1"/>
    <n v="-5"/>
    <x v="1"/>
    <x v="1"/>
    <x v="1"/>
    <n v="-5"/>
    <s v="Spenting"/>
  </r>
  <r>
    <x v="269"/>
    <x v="0"/>
    <s v="Drink"/>
    <s v="Coffee"/>
    <s v="Dining Out"/>
    <x v="1"/>
    <n v="-5"/>
    <x v="1"/>
    <x v="1"/>
    <x v="1"/>
    <n v="-5"/>
    <s v="Spenting"/>
  </r>
  <r>
    <x v="269"/>
    <x v="0"/>
    <s v="Green's"/>
    <s v="Groceries"/>
    <s v="Living Expenses"/>
    <x v="1"/>
    <n v="-189"/>
    <x v="1"/>
    <x v="1"/>
    <x v="172"/>
    <n v="-189"/>
    <s v="Spenting"/>
  </r>
  <r>
    <x v="270"/>
    <x v="0"/>
    <s v="Trainers"/>
    <s v="Clothes"/>
    <s v="Discretionary"/>
    <x v="5"/>
    <n v="-133.80000000000001"/>
    <x v="1"/>
    <x v="1"/>
    <x v="173"/>
    <n v="-133.80000000000001"/>
    <s v="Spenting"/>
  </r>
  <r>
    <x v="270"/>
    <x v="0"/>
    <s v="Hangingout/Ticket"/>
    <s v="Entertainment"/>
    <s v="Discretionary"/>
    <x v="4"/>
    <n v="-184.39999999999998"/>
    <x v="4"/>
    <x v="1"/>
    <x v="174"/>
    <n v="-184.39999999999998"/>
    <s v="Spenting"/>
  </r>
  <r>
    <x v="271"/>
    <x v="0"/>
    <s v="Fashionistas"/>
    <s v="Clothes"/>
    <s v="Discretionary"/>
    <x v="5"/>
    <n v="-154.49999999999997"/>
    <x v="1"/>
    <x v="1"/>
    <x v="175"/>
    <n v="-154.49999999999997"/>
    <s v="Spenting"/>
  </r>
  <r>
    <x v="271"/>
    <x v="0"/>
    <s v="Uba"/>
    <s v="Taxi"/>
    <s v="Transport"/>
    <x v="6"/>
    <n v="-32.1"/>
    <x v="4"/>
    <x v="1"/>
    <x v="176"/>
    <n v="-32.1"/>
    <s v="Spenting"/>
  </r>
  <r>
    <x v="271"/>
    <x v="0"/>
    <s v="Foodary"/>
    <s v="Restaurant"/>
    <s v="Dining Out"/>
    <x v="1"/>
    <n v="-15"/>
    <x v="1"/>
    <x v="1"/>
    <x v="61"/>
    <n v="-15"/>
    <s v="Spen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517D9-1A73-4A36-9A9A-F690459706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8" firstHeaderRow="1" firstDataRow="1" firstDataCol="1"/>
  <pivotFields count="14">
    <pivotField numFmtId="166"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showAll="0"/>
    <pivotField showAll="0">
      <items count="11">
        <item x="4"/>
        <item x="1"/>
        <item x="2"/>
        <item x="3"/>
        <item x="9"/>
        <item x="7"/>
        <item x="5"/>
        <item x="0"/>
        <item x="6"/>
        <item x="8"/>
        <item t="default"/>
      </items>
    </pivotField>
    <pivotField showAll="0"/>
    <pivotField showAll="0">
      <items count="6">
        <item x="0"/>
        <item x="2"/>
        <item x="3"/>
        <item x="1"/>
        <item x="4"/>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1">
    <i>
      <x v="1"/>
    </i>
    <i>
      <x v="2"/>
    </i>
    <i>
      <x v="3"/>
    </i>
    <i>
      <x v="4"/>
    </i>
    <i>
      <x v="5"/>
    </i>
    <i>
      <x v="6"/>
    </i>
    <i>
      <x v="7"/>
    </i>
    <i>
      <x v="8"/>
    </i>
    <i>
      <x v="9"/>
    </i>
    <i>
      <x v="10"/>
    </i>
    <i t="grand">
      <x/>
    </i>
  </rowItems>
  <colItems count="1">
    <i/>
  </colItems>
  <dataFields count="1">
    <dataField name="Sum of Expense" fld="9"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E3B48-6139-496E-B016-BE9830F84B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4" firstHeaderRow="0" firstDataRow="1" firstDataCol="1"/>
  <pivotFields count="14">
    <pivotField numFmtId="166"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axis="axisRow" showAll="0">
      <items count="2">
        <item x="0"/>
        <item t="default"/>
      </items>
    </pivotField>
    <pivotField showAll="0"/>
    <pivotField showAll="0"/>
    <pivotField showAll="0"/>
    <pivotField showAll="0">
      <items count="11">
        <item x="4"/>
        <item x="1"/>
        <item x="2"/>
        <item x="3"/>
        <item x="9"/>
        <item x="7"/>
        <item x="5"/>
        <item x="0"/>
        <item x="6"/>
        <item x="8"/>
        <item t="default"/>
      </items>
    </pivotField>
    <pivotField showAll="0"/>
    <pivotField showAll="0">
      <items count="6">
        <item x="0"/>
        <item x="2"/>
        <item x="3"/>
        <item x="1"/>
        <item x="4"/>
        <item t="default"/>
      </items>
    </pivotField>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i>
    <i t="grand">
      <x/>
    </i>
  </rowItems>
  <colFields count="1">
    <field x="-2"/>
  </colFields>
  <colItems count="2">
    <i>
      <x/>
    </i>
    <i i="1">
      <x v="1"/>
    </i>
  </colItems>
  <dataFields count="2">
    <dataField name="Sum of Income " fld="8" baseField="0" baseItem="0"/>
    <dataField name="Sum of Expense"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C5EA7-11D6-49A5-B2E2-4B5C9CBED6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B81" firstHeaderRow="1" firstDataRow="1" firstDataCol="1"/>
  <pivotFields count="14">
    <pivotField numFmtId="166"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showAll="0"/>
    <pivotField axis="axisRow" multipleItemSelectionAllowed="1" showAll="0">
      <items count="11">
        <item x="4"/>
        <item x="1"/>
        <item x="2"/>
        <item x="3"/>
        <item x="9"/>
        <item x="7"/>
        <item x="5"/>
        <item x="0"/>
        <item x="6"/>
        <item x="8"/>
        <item t="default"/>
      </items>
    </pivotField>
    <pivotField dataField="1" showAll="0"/>
    <pivotField showAll="0">
      <items count="6">
        <item x="0"/>
        <item x="2"/>
        <item x="3"/>
        <item x="1"/>
        <item x="4"/>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i>
    <i>
      <x v="1"/>
    </i>
    <i>
      <x v="2"/>
    </i>
    <i>
      <x v="3"/>
    </i>
    <i>
      <x v="4"/>
    </i>
    <i>
      <x v="5"/>
    </i>
    <i>
      <x v="6"/>
    </i>
    <i>
      <x v="7"/>
    </i>
    <i>
      <x v="8"/>
    </i>
    <i>
      <x v="9"/>
    </i>
    <i t="grand">
      <x/>
    </i>
  </rowItems>
  <colItems count="1">
    <i/>
  </colItems>
  <dataFields count="1">
    <dataField name="Average of Amount" fld="6" subtotal="average" baseField="5"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D511A-BF27-46C2-96F5-7CCCACCD4F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8" firstHeaderRow="1" firstDataRow="1" firstDataCol="1"/>
  <pivotFields count="14">
    <pivotField numFmtId="166"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showAll="0"/>
    <pivotField showAll="0">
      <items count="11">
        <item x="4"/>
        <item x="1"/>
        <item x="2"/>
        <item x="3"/>
        <item x="9"/>
        <item x="7"/>
        <item x="5"/>
        <item x="0"/>
        <item x="6"/>
        <item x="8"/>
        <item t="default"/>
      </items>
    </pivotField>
    <pivotField showAll="0"/>
    <pivotField axis="axisRow" dataField="1" showAll="0">
      <items count="6">
        <item x="0"/>
        <item x="2"/>
        <item x="3"/>
        <item x="1"/>
        <item x="4"/>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Count of Payment_mode" fld="7"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79CA43-21EA-435D-A1D7-78F7BFC825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45" firstHeaderRow="1" firstDataRow="1" firstDataCol="1"/>
  <pivotFields count="14">
    <pivotField numFmtId="166"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showAll="0"/>
    <pivotField axis="axisRow" showAll="0">
      <items count="11">
        <item x="4"/>
        <item x="1"/>
        <item x="2"/>
        <item x="3"/>
        <item x="9"/>
        <item x="7"/>
        <item x="5"/>
        <item x="0"/>
        <item x="6"/>
        <item x="8"/>
        <item t="default"/>
      </items>
    </pivotField>
    <pivotField showAll="0"/>
    <pivotField showAll="0">
      <items count="6">
        <item x="0"/>
        <item x="2"/>
        <item x="3"/>
        <item x="1"/>
        <item x="4"/>
        <item t="default"/>
      </items>
    </pivotField>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i>
    <i>
      <x v="1"/>
    </i>
    <i>
      <x v="2"/>
    </i>
    <i>
      <x v="3"/>
    </i>
    <i>
      <x v="4"/>
    </i>
    <i>
      <x v="5"/>
    </i>
    <i>
      <x v="6"/>
    </i>
    <i>
      <x v="7"/>
    </i>
    <i>
      <x v="8"/>
    </i>
    <i>
      <x v="9"/>
    </i>
    <i t="grand">
      <x/>
    </i>
  </rowItems>
  <colItems count="1">
    <i/>
  </colItems>
  <dataFields count="1">
    <dataField name="Sum of Expense" fld="9" showDataAs="percentOfTotal" baseField="5"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CD8DD9AE-8B36-4DC9-93A6-B93F8A9E47C9}" sourceName="Main-Category">
  <pivotTables>
    <pivotTable tabId="10" name="PivotTable2"/>
    <pivotTable tabId="10" name="PivotTable1"/>
    <pivotTable tabId="10" name="PivotTable3"/>
    <pivotTable tabId="10" name="PivotTable4"/>
    <pivotTable tabId="10" name="PivotTable5"/>
  </pivotTables>
  <data>
    <tabular pivotCacheId="631798794">
      <items count="10">
        <i x="4" s="1"/>
        <i x="1" s="1"/>
        <i x="2" s="1"/>
        <i x="3" s="1"/>
        <i x="9" s="1"/>
        <i x="7" s="1"/>
        <i x="5" s="1"/>
        <i x="0" s="1"/>
        <i x="6"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92A142F-6DEE-46FE-99C2-E7700D80FD50}" sourceName="Payment_mode">
  <pivotTables>
    <pivotTable tabId="10" name="PivotTable2"/>
    <pivotTable tabId="10" name="PivotTable1"/>
    <pivotTable tabId="10" name="PivotTable3"/>
    <pivotTable tabId="10" name="PivotTable4"/>
    <pivotTable tabId="10" name="PivotTable5"/>
  </pivotTables>
  <data>
    <tabular pivotCacheId="631798794">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911AA88-5D5E-4A04-881C-C91E5B0F010C}" sourceName="Months (Date)">
  <pivotTables>
    <pivotTable tabId="10" name="PivotTable2"/>
    <pivotTable tabId="10" name="PivotTable1"/>
    <pivotTable tabId="10" name="PivotTable3"/>
    <pivotTable tabId="10" name="PivotTable4"/>
    <pivotTable tabId="10" name="PivotTable5"/>
  </pivotTables>
  <data>
    <tabular pivotCacheId="631798794">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Category" xr10:uid="{4A70B582-AEEA-424E-AE52-504263ED2B1C}" cache="Slicer_Main_Category" caption="Main-Category" rowHeight="241300"/>
  <slicer name="Payment_mode" xr10:uid="{98354BBE-956D-4DB6-8579-DC046C436921}" cache="Slicer_Payment_mode" caption="Payment_mode" rowHeight="241300"/>
  <slicer name="Months (Date)" xr10:uid="{FB7FF644-7110-497E-9A7A-01E62FFB7BF5}"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2C1A45-3F64-486C-B0F2-C7FE92693CCD}" name="Table2" displayName="Table2" ref="A1:L487" totalsRowShown="0" headerRowDxfId="1">
  <autoFilter ref="A1:L487" xr:uid="{673EE29C-D6C2-4E3B-A532-9EBE0D667FDD}"/>
  <tableColumns count="12">
    <tableColumn id="1" xr3:uid="{79CFCD63-374D-448E-8583-29546C41A362}" name="Date" dataDxfId="0"/>
    <tableColumn id="2" xr3:uid="{8EE57020-D7A2-494A-9FC4-3673904A2CC3}" name="Year"/>
    <tableColumn id="3" xr3:uid="{A3F029A9-2D5F-46D8-9E82-A49255621C29}" name="Description"/>
    <tableColumn id="4" xr3:uid="{0F2A0460-4626-4727-B217-FA5A764E9DD4}" name="Sub-category"/>
    <tableColumn id="5" xr3:uid="{2174DB57-8DAE-4A08-987E-B7CFD4F36B09}" name="Category"/>
    <tableColumn id="6" xr3:uid="{6762BC1F-AB36-4C12-B0F3-CF3671445CD7}" name="Main-Category"/>
    <tableColumn id="7" xr3:uid="{463EDC6F-E49D-4144-84AC-72D470DFB6CB}" name="Amount"/>
    <tableColumn id="8" xr3:uid="{E0AB30C1-AFF1-40B8-AE03-4CC9BB4829E6}" name="Payment_mode"/>
    <tableColumn id="9" xr3:uid="{4C8355EB-E581-4189-ACD2-98B9E5256CE8}" name="Income "/>
    <tableColumn id="10" xr3:uid="{9CC48681-9569-48FF-A894-A187E04BCB66}" name="Expense"/>
    <tableColumn id="11" xr3:uid="{1D437A8F-4F4D-4687-BE63-9DBC222ECC13}" name="Net_balance"/>
    <tableColumn id="12" xr3:uid="{76136D88-616D-4E0E-B981-53FCBCF157A8}" name="Budget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9A64-6262-44E8-853D-0ADA87FDD4B0}">
  <dimension ref="A1:J487"/>
  <sheetViews>
    <sheetView workbookViewId="0">
      <selection activeCell="J1" sqref="J1:J1048576"/>
    </sheetView>
  </sheetViews>
  <sheetFormatPr defaultRowHeight="15" x14ac:dyDescent="0.25"/>
  <cols>
    <col min="1" max="1" width="8.7109375" style="1" customWidth="1"/>
    <col min="2" max="2" width="17.28515625" customWidth="1"/>
    <col min="5" max="5" width="16.7109375" customWidth="1"/>
    <col min="6" max="6" width="14.7109375" customWidth="1"/>
    <col min="7" max="7" width="15" customWidth="1"/>
    <col min="8" max="8" width="16" customWidth="1"/>
    <col min="9" max="9" width="13.140625" style="2" customWidth="1"/>
  </cols>
  <sheetData>
    <row r="1" spans="1:10" x14ac:dyDescent="0.25">
      <c r="A1" s="5" t="s">
        <v>0</v>
      </c>
      <c r="B1" s="6" t="s">
        <v>1</v>
      </c>
      <c r="C1" s="6" t="s">
        <v>2</v>
      </c>
      <c r="D1" s="6" t="s">
        <v>3</v>
      </c>
      <c r="E1" s="6" t="s">
        <v>4</v>
      </c>
      <c r="F1" s="6" t="s">
        <v>5</v>
      </c>
      <c r="G1" s="6" t="s">
        <v>6</v>
      </c>
      <c r="H1" s="6" t="s">
        <v>61</v>
      </c>
      <c r="I1" s="7" t="s">
        <v>62</v>
      </c>
      <c r="J1" s="8" t="s">
        <v>63</v>
      </c>
    </row>
    <row r="2" spans="1:10" x14ac:dyDescent="0.25">
      <c r="A2" s="9">
        <v>44200</v>
      </c>
      <c r="B2" s="10" t="s">
        <v>7</v>
      </c>
      <c r="C2" s="10"/>
      <c r="D2" s="10">
        <v>5000</v>
      </c>
      <c r="E2" s="10" t="s">
        <v>8</v>
      </c>
      <c r="F2" s="10" t="s">
        <v>9</v>
      </c>
      <c r="G2" s="10" t="s">
        <v>10</v>
      </c>
      <c r="H2" s="10">
        <f>MONTH(Dataset!$A2)</f>
        <v>1</v>
      </c>
      <c r="I2" s="11">
        <f>WEEKDAY(Dataset!$A2)</f>
        <v>2</v>
      </c>
      <c r="J2" s="12">
        <f>Dataset!$D2-Dataset!$C2</f>
        <v>5000</v>
      </c>
    </row>
    <row r="3" spans="1:10" x14ac:dyDescent="0.25">
      <c r="A3" s="13">
        <v>44200</v>
      </c>
      <c r="B3" s="14" t="s">
        <v>11</v>
      </c>
      <c r="C3" s="14">
        <v>5</v>
      </c>
      <c r="D3" s="14"/>
      <c r="E3" s="14" t="s">
        <v>12</v>
      </c>
      <c r="F3" s="14" t="s">
        <v>13</v>
      </c>
      <c r="G3" s="14" t="s">
        <v>14</v>
      </c>
      <c r="H3" s="14">
        <f>MONTH(Dataset!$A3)</f>
        <v>1</v>
      </c>
      <c r="I3" s="15">
        <f>WEEKDAY(Dataset!$A3)</f>
        <v>2</v>
      </c>
      <c r="J3" s="16">
        <f>Dataset!$D3-Dataset!$C3</f>
        <v>-5</v>
      </c>
    </row>
    <row r="4" spans="1:10" x14ac:dyDescent="0.25">
      <c r="A4" s="9">
        <v>44201</v>
      </c>
      <c r="B4" s="10" t="s">
        <v>15</v>
      </c>
      <c r="C4" s="10">
        <v>900</v>
      </c>
      <c r="D4" s="10"/>
      <c r="E4" s="10" t="s">
        <v>16</v>
      </c>
      <c r="F4" s="10" t="s">
        <v>17</v>
      </c>
      <c r="G4" s="10" t="s">
        <v>14</v>
      </c>
      <c r="H4" s="10">
        <f>MONTH(Dataset!$A4)</f>
        <v>1</v>
      </c>
      <c r="I4" s="11">
        <f>WEEKDAY(Dataset!$A4)</f>
        <v>3</v>
      </c>
      <c r="J4" s="12">
        <f>Dataset!$D4-Dataset!$C4</f>
        <v>-900</v>
      </c>
    </row>
    <row r="5" spans="1:10" x14ac:dyDescent="0.25">
      <c r="A5" s="13">
        <v>44201</v>
      </c>
      <c r="B5" s="14" t="s">
        <v>18</v>
      </c>
      <c r="C5" s="14">
        <v>150</v>
      </c>
      <c r="D5" s="14"/>
      <c r="E5" s="14" t="s">
        <v>19</v>
      </c>
      <c r="F5" s="14" t="s">
        <v>20</v>
      </c>
      <c r="G5" s="14" t="s">
        <v>14</v>
      </c>
      <c r="H5" s="14">
        <f>MONTH(Dataset!$A5)</f>
        <v>1</v>
      </c>
      <c r="I5" s="15">
        <f>WEEKDAY(Dataset!$A5)</f>
        <v>3</v>
      </c>
      <c r="J5" s="16">
        <f>Dataset!$D5-Dataset!$C5</f>
        <v>-150</v>
      </c>
    </row>
    <row r="6" spans="1:10" x14ac:dyDescent="0.25">
      <c r="A6" s="9">
        <v>44201</v>
      </c>
      <c r="B6" s="10" t="s">
        <v>11</v>
      </c>
      <c r="C6" s="10">
        <v>5</v>
      </c>
      <c r="D6" s="10"/>
      <c r="E6" s="10" t="s">
        <v>12</v>
      </c>
      <c r="F6" s="10" t="s">
        <v>13</v>
      </c>
      <c r="G6" s="10" t="s">
        <v>14</v>
      </c>
      <c r="H6" s="10">
        <f>MONTH(Dataset!$A6)</f>
        <v>1</v>
      </c>
      <c r="I6" s="11">
        <f>WEEKDAY(Dataset!$A6)</f>
        <v>3</v>
      </c>
      <c r="J6" s="12">
        <f>Dataset!$D6-Dataset!$C6</f>
        <v>-5</v>
      </c>
    </row>
    <row r="7" spans="1:10" x14ac:dyDescent="0.25">
      <c r="A7" s="13">
        <v>44202</v>
      </c>
      <c r="B7" s="14" t="s">
        <v>11</v>
      </c>
      <c r="C7" s="14">
        <v>5</v>
      </c>
      <c r="D7" s="14"/>
      <c r="E7" s="14" t="s">
        <v>12</v>
      </c>
      <c r="F7" s="14" t="s">
        <v>13</v>
      </c>
      <c r="G7" s="14" t="s">
        <v>14</v>
      </c>
      <c r="H7" s="14">
        <f>MONTH(Dataset!$A7)</f>
        <v>1</v>
      </c>
      <c r="I7" s="15">
        <f>WEEKDAY(Dataset!$A7)</f>
        <v>4</v>
      </c>
      <c r="J7" s="16">
        <f>Dataset!$D7-Dataset!$C7</f>
        <v>-5</v>
      </c>
    </row>
    <row r="8" spans="1:10" x14ac:dyDescent="0.25">
      <c r="A8" s="9">
        <v>44203</v>
      </c>
      <c r="B8" s="10" t="s">
        <v>11</v>
      </c>
      <c r="C8" s="10">
        <v>5</v>
      </c>
      <c r="D8" s="10"/>
      <c r="E8" s="10" t="s">
        <v>12</v>
      </c>
      <c r="F8" s="10" t="s">
        <v>13</v>
      </c>
      <c r="G8" s="10" t="s">
        <v>14</v>
      </c>
      <c r="H8" s="10">
        <f>MONTH(Dataset!$A8)</f>
        <v>1</v>
      </c>
      <c r="I8" s="11">
        <f>WEEKDAY(Dataset!$A8)</f>
        <v>5</v>
      </c>
      <c r="J8" s="12">
        <f>Dataset!$D8-Dataset!$C8</f>
        <v>-5</v>
      </c>
    </row>
    <row r="9" spans="1:10" x14ac:dyDescent="0.25">
      <c r="A9" s="13">
        <v>44204</v>
      </c>
      <c r="B9" s="14" t="s">
        <v>11</v>
      </c>
      <c r="C9" s="14">
        <v>5</v>
      </c>
      <c r="D9" s="14"/>
      <c r="E9" s="14" t="s">
        <v>12</v>
      </c>
      <c r="F9" s="14" t="s">
        <v>13</v>
      </c>
      <c r="G9" s="14" t="s">
        <v>14</v>
      </c>
      <c r="H9" s="14">
        <f>MONTH(Dataset!$A9)</f>
        <v>1</v>
      </c>
      <c r="I9" s="15">
        <f>WEEKDAY(Dataset!$A9)</f>
        <v>6</v>
      </c>
      <c r="J9" s="16">
        <f>Dataset!$D9-Dataset!$C9</f>
        <v>-5</v>
      </c>
    </row>
    <row r="10" spans="1:10" x14ac:dyDescent="0.25">
      <c r="A10" s="9">
        <v>44204</v>
      </c>
      <c r="B10" s="10" t="s">
        <v>21</v>
      </c>
      <c r="C10" s="10">
        <v>155</v>
      </c>
      <c r="D10" s="10"/>
      <c r="E10" s="10" t="s">
        <v>22</v>
      </c>
      <c r="F10" s="10" t="s">
        <v>17</v>
      </c>
      <c r="G10" s="10" t="s">
        <v>14</v>
      </c>
      <c r="H10" s="10">
        <f>MONTH(Dataset!$A10)</f>
        <v>1</v>
      </c>
      <c r="I10" s="11">
        <f>WEEKDAY(Dataset!$A10)</f>
        <v>6</v>
      </c>
      <c r="J10" s="12">
        <f>Dataset!$D10-Dataset!$C10</f>
        <v>-155</v>
      </c>
    </row>
    <row r="11" spans="1:10" x14ac:dyDescent="0.25">
      <c r="A11" s="13">
        <v>44207</v>
      </c>
      <c r="B11" s="14" t="s">
        <v>23</v>
      </c>
      <c r="C11" s="14">
        <v>50</v>
      </c>
      <c r="D11" s="14"/>
      <c r="E11" s="14" t="s">
        <v>24</v>
      </c>
      <c r="F11" s="14" t="s">
        <v>17</v>
      </c>
      <c r="G11" s="14" t="s">
        <v>14</v>
      </c>
      <c r="H11" s="14">
        <f>MONTH(Dataset!$A11)</f>
        <v>1</v>
      </c>
      <c r="I11" s="15">
        <f>WEEKDAY(Dataset!$A11)</f>
        <v>2</v>
      </c>
      <c r="J11" s="16">
        <f>Dataset!$D11-Dataset!$C11</f>
        <v>-50</v>
      </c>
    </row>
    <row r="12" spans="1:10" x14ac:dyDescent="0.25">
      <c r="A12" s="9">
        <v>44207</v>
      </c>
      <c r="B12" s="10" t="s">
        <v>11</v>
      </c>
      <c r="C12" s="10">
        <v>5</v>
      </c>
      <c r="D12" s="10"/>
      <c r="E12" s="10" t="s">
        <v>12</v>
      </c>
      <c r="F12" s="10" t="s">
        <v>13</v>
      </c>
      <c r="G12" s="10" t="s">
        <v>14</v>
      </c>
      <c r="H12" s="10">
        <f>MONTH(Dataset!$A12)</f>
        <v>1</v>
      </c>
      <c r="I12" s="11">
        <f>WEEKDAY(Dataset!$A12)</f>
        <v>2</v>
      </c>
      <c r="J12" s="12">
        <f>Dataset!$D12-Dataset!$C12</f>
        <v>-5</v>
      </c>
    </row>
    <row r="13" spans="1:10" x14ac:dyDescent="0.25">
      <c r="A13" s="13">
        <v>44208</v>
      </c>
      <c r="B13" s="14" t="s">
        <v>11</v>
      </c>
      <c r="C13" s="14">
        <v>5</v>
      </c>
      <c r="D13" s="14"/>
      <c r="E13" s="14" t="s">
        <v>12</v>
      </c>
      <c r="F13" s="14" t="s">
        <v>13</v>
      </c>
      <c r="G13" s="14" t="s">
        <v>14</v>
      </c>
      <c r="H13" s="14">
        <f>MONTH(Dataset!$A13)</f>
        <v>1</v>
      </c>
      <c r="I13" s="15">
        <f>WEEKDAY(Dataset!$A13)</f>
        <v>3</v>
      </c>
      <c r="J13" s="16">
        <f>Dataset!$D13-Dataset!$C13</f>
        <v>-5</v>
      </c>
    </row>
    <row r="14" spans="1:10" x14ac:dyDescent="0.25">
      <c r="A14" s="9">
        <v>44209</v>
      </c>
      <c r="B14" s="10" t="s">
        <v>25</v>
      </c>
      <c r="C14" s="10">
        <v>77</v>
      </c>
      <c r="D14" s="10"/>
      <c r="E14" s="10" t="s">
        <v>12</v>
      </c>
      <c r="F14" s="10" t="s">
        <v>13</v>
      </c>
      <c r="G14" s="10" t="s">
        <v>14</v>
      </c>
      <c r="H14" s="10">
        <f>MONTH(Dataset!$A14)</f>
        <v>1</v>
      </c>
      <c r="I14" s="11">
        <f>WEEKDAY(Dataset!$A14)</f>
        <v>4</v>
      </c>
      <c r="J14" s="12">
        <f>Dataset!$D14-Dataset!$C14</f>
        <v>-77</v>
      </c>
    </row>
    <row r="15" spans="1:10" x14ac:dyDescent="0.25">
      <c r="A15" s="13">
        <v>44209</v>
      </c>
      <c r="B15" s="14" t="s">
        <v>11</v>
      </c>
      <c r="C15" s="14">
        <v>5</v>
      </c>
      <c r="D15" s="14"/>
      <c r="E15" s="14" t="s">
        <v>12</v>
      </c>
      <c r="F15" s="14" t="s">
        <v>13</v>
      </c>
      <c r="G15" s="14" t="s">
        <v>14</v>
      </c>
      <c r="H15" s="14">
        <f>MONTH(Dataset!$A15)</f>
        <v>1</v>
      </c>
      <c r="I15" s="15">
        <f>WEEKDAY(Dataset!$A15)</f>
        <v>4</v>
      </c>
      <c r="J15" s="16">
        <f>Dataset!$D15-Dataset!$C15</f>
        <v>-5</v>
      </c>
    </row>
    <row r="16" spans="1:10" x14ac:dyDescent="0.25">
      <c r="A16" s="9">
        <v>44210</v>
      </c>
      <c r="B16" s="10" t="s">
        <v>11</v>
      </c>
      <c r="C16" s="10">
        <v>5</v>
      </c>
      <c r="D16" s="10"/>
      <c r="E16" s="10" t="s">
        <v>12</v>
      </c>
      <c r="F16" s="10" t="s">
        <v>13</v>
      </c>
      <c r="G16" s="10" t="s">
        <v>14</v>
      </c>
      <c r="H16" s="10">
        <f>MONTH(Dataset!$A16)</f>
        <v>1</v>
      </c>
      <c r="I16" s="11">
        <f>WEEKDAY(Dataset!$A16)</f>
        <v>5</v>
      </c>
      <c r="J16" s="12">
        <f>Dataset!$D16-Dataset!$C16</f>
        <v>-5</v>
      </c>
    </row>
    <row r="17" spans="1:10" x14ac:dyDescent="0.25">
      <c r="A17" s="13">
        <v>44211</v>
      </c>
      <c r="B17" s="14" t="s">
        <v>21</v>
      </c>
      <c r="C17" s="14">
        <v>135</v>
      </c>
      <c r="D17" s="14"/>
      <c r="E17" s="14" t="s">
        <v>22</v>
      </c>
      <c r="F17" s="14" t="s">
        <v>17</v>
      </c>
      <c r="G17" s="14" t="s">
        <v>14</v>
      </c>
      <c r="H17" s="14">
        <f>MONTH(Dataset!$A17)</f>
        <v>1</v>
      </c>
      <c r="I17" s="15">
        <f>WEEKDAY(Dataset!$A17)</f>
        <v>6</v>
      </c>
      <c r="J17" s="16">
        <f>Dataset!$D17-Dataset!$C17</f>
        <v>-135</v>
      </c>
    </row>
    <row r="18" spans="1:10" x14ac:dyDescent="0.25">
      <c r="A18" s="9">
        <v>44211</v>
      </c>
      <c r="B18" s="10" t="s">
        <v>11</v>
      </c>
      <c r="C18" s="10">
        <v>5</v>
      </c>
      <c r="D18" s="10"/>
      <c r="E18" s="10" t="s">
        <v>12</v>
      </c>
      <c r="F18" s="10" t="s">
        <v>13</v>
      </c>
      <c r="G18" s="10" t="s">
        <v>14</v>
      </c>
      <c r="H18" s="10">
        <f>MONTH(Dataset!$A18)</f>
        <v>1</v>
      </c>
      <c r="I18" s="11">
        <f>WEEKDAY(Dataset!$A18)</f>
        <v>6</v>
      </c>
      <c r="J18" s="12">
        <f>Dataset!$D18-Dataset!$C18</f>
        <v>-5</v>
      </c>
    </row>
    <row r="19" spans="1:10" x14ac:dyDescent="0.25">
      <c r="A19" s="13">
        <v>44212</v>
      </c>
      <c r="B19" s="14" t="s">
        <v>11</v>
      </c>
      <c r="C19" s="14">
        <v>5</v>
      </c>
      <c r="D19" s="14"/>
      <c r="E19" s="14" t="s">
        <v>12</v>
      </c>
      <c r="F19" s="14" t="s">
        <v>13</v>
      </c>
      <c r="G19" s="14" t="s">
        <v>14</v>
      </c>
      <c r="H19" s="14">
        <f>MONTH(Dataset!$A19)</f>
        <v>1</v>
      </c>
      <c r="I19" s="15">
        <f>WEEKDAY(Dataset!$A19)</f>
        <v>7</v>
      </c>
      <c r="J19" s="16">
        <f>Dataset!$D19-Dataset!$C19</f>
        <v>-5</v>
      </c>
    </row>
    <row r="20" spans="1:10" x14ac:dyDescent="0.25">
      <c r="A20" s="9">
        <v>44212</v>
      </c>
      <c r="B20" s="10" t="s">
        <v>26</v>
      </c>
      <c r="C20" s="10">
        <v>40</v>
      </c>
      <c r="D20" s="10"/>
      <c r="E20" s="10" t="s">
        <v>27</v>
      </c>
      <c r="F20" s="10" t="s">
        <v>28</v>
      </c>
      <c r="G20" s="10" t="s">
        <v>14</v>
      </c>
      <c r="H20" s="10">
        <f>MONTH(Dataset!$A20)</f>
        <v>1</v>
      </c>
      <c r="I20" s="11">
        <f>WEEKDAY(Dataset!$A20)</f>
        <v>7</v>
      </c>
      <c r="J20" s="12">
        <f>Dataset!$D20-Dataset!$C20</f>
        <v>-40</v>
      </c>
    </row>
    <row r="21" spans="1:10" x14ac:dyDescent="0.25">
      <c r="A21" s="13">
        <v>44212</v>
      </c>
      <c r="B21" s="14" t="s">
        <v>29</v>
      </c>
      <c r="C21" s="14">
        <v>98</v>
      </c>
      <c r="D21" s="14"/>
      <c r="E21" s="14" t="s">
        <v>30</v>
      </c>
      <c r="F21" s="14" t="s">
        <v>28</v>
      </c>
      <c r="G21" s="14" t="s">
        <v>14</v>
      </c>
      <c r="H21" s="14">
        <f>MONTH(Dataset!$A21)</f>
        <v>1</v>
      </c>
      <c r="I21" s="15">
        <f>WEEKDAY(Dataset!$A21)</f>
        <v>7</v>
      </c>
      <c r="J21" s="16">
        <f>Dataset!$D21-Dataset!$C21</f>
        <v>-98</v>
      </c>
    </row>
    <row r="22" spans="1:10" x14ac:dyDescent="0.25">
      <c r="A22" s="9">
        <v>44212</v>
      </c>
      <c r="B22" s="10" t="s">
        <v>31</v>
      </c>
      <c r="C22" s="10">
        <v>52</v>
      </c>
      <c r="D22" s="10"/>
      <c r="E22" s="10" t="s">
        <v>32</v>
      </c>
      <c r="F22" s="10" t="s">
        <v>13</v>
      </c>
      <c r="G22" s="10" t="s">
        <v>14</v>
      </c>
      <c r="H22" s="10">
        <f>MONTH(Dataset!$A22)</f>
        <v>1</v>
      </c>
      <c r="I22" s="11">
        <f>WEEKDAY(Dataset!$A22)</f>
        <v>7</v>
      </c>
      <c r="J22" s="12">
        <f>Dataset!$D22-Dataset!$C22</f>
        <v>-52</v>
      </c>
    </row>
    <row r="23" spans="1:10" x14ac:dyDescent="0.25">
      <c r="A23" s="13">
        <v>44213</v>
      </c>
      <c r="B23" s="14" t="s">
        <v>33</v>
      </c>
      <c r="C23" s="14">
        <v>28</v>
      </c>
      <c r="D23" s="14"/>
      <c r="E23" s="14" t="s">
        <v>34</v>
      </c>
      <c r="F23" s="14" t="s">
        <v>20</v>
      </c>
      <c r="G23" s="14" t="s">
        <v>14</v>
      </c>
      <c r="H23" s="14">
        <f>MONTH(Dataset!$A23)</f>
        <v>1</v>
      </c>
      <c r="I23" s="15">
        <f>WEEKDAY(Dataset!$A23)</f>
        <v>1</v>
      </c>
      <c r="J23" s="16">
        <f>Dataset!$D23-Dataset!$C23</f>
        <v>-28</v>
      </c>
    </row>
    <row r="24" spans="1:10" x14ac:dyDescent="0.25">
      <c r="A24" s="9">
        <v>44214</v>
      </c>
      <c r="B24" s="10" t="s">
        <v>35</v>
      </c>
      <c r="C24" s="10"/>
      <c r="D24" s="10">
        <v>4500</v>
      </c>
      <c r="E24" s="10" t="s">
        <v>36</v>
      </c>
      <c r="F24" s="10" t="s">
        <v>37</v>
      </c>
      <c r="G24" s="10" t="s">
        <v>10</v>
      </c>
      <c r="H24" s="10">
        <f>MONTH(Dataset!$A24)</f>
        <v>1</v>
      </c>
      <c r="I24" s="11">
        <f>WEEKDAY(Dataset!$A24)</f>
        <v>2</v>
      </c>
      <c r="J24" s="12">
        <f>Dataset!$D24-Dataset!$C24</f>
        <v>4500</v>
      </c>
    </row>
    <row r="25" spans="1:10" x14ac:dyDescent="0.25">
      <c r="A25" s="13">
        <v>44214</v>
      </c>
      <c r="B25" s="14" t="s">
        <v>11</v>
      </c>
      <c r="C25" s="14">
        <v>5</v>
      </c>
      <c r="D25" s="14"/>
      <c r="E25" s="14" t="s">
        <v>12</v>
      </c>
      <c r="F25" s="14" t="s">
        <v>13</v>
      </c>
      <c r="G25" s="14" t="s">
        <v>14</v>
      </c>
      <c r="H25" s="14">
        <f>MONTH(Dataset!$A25)</f>
        <v>1</v>
      </c>
      <c r="I25" s="15">
        <f>WEEKDAY(Dataset!$A25)</f>
        <v>2</v>
      </c>
      <c r="J25" s="16">
        <f>Dataset!$D25-Dataset!$C25</f>
        <v>-5</v>
      </c>
    </row>
    <row r="26" spans="1:10" x14ac:dyDescent="0.25">
      <c r="A26" s="9">
        <v>44215</v>
      </c>
      <c r="B26" s="10" t="s">
        <v>11</v>
      </c>
      <c r="C26" s="10">
        <v>5</v>
      </c>
      <c r="D26" s="10"/>
      <c r="E26" s="10" t="s">
        <v>12</v>
      </c>
      <c r="F26" s="10" t="s">
        <v>13</v>
      </c>
      <c r="G26" s="10" t="s">
        <v>14</v>
      </c>
      <c r="H26" s="10">
        <f>MONTH(Dataset!$A26)</f>
        <v>1</v>
      </c>
      <c r="I26" s="11">
        <f>WEEKDAY(Dataset!$A26)</f>
        <v>3</v>
      </c>
      <c r="J26" s="12">
        <f>Dataset!$D26-Dataset!$C26</f>
        <v>-5</v>
      </c>
    </row>
    <row r="27" spans="1:10" x14ac:dyDescent="0.25">
      <c r="A27" s="13">
        <v>44215</v>
      </c>
      <c r="B27" s="14" t="s">
        <v>35</v>
      </c>
      <c r="C27" s="14"/>
      <c r="D27" s="14">
        <v>4500</v>
      </c>
      <c r="E27" s="14" t="s">
        <v>38</v>
      </c>
      <c r="F27" s="14" t="s">
        <v>37</v>
      </c>
      <c r="G27" s="14" t="s">
        <v>10</v>
      </c>
      <c r="H27" s="14">
        <f>MONTH(Dataset!$A27)</f>
        <v>1</v>
      </c>
      <c r="I27" s="15">
        <f>WEEKDAY(Dataset!$A27)</f>
        <v>3</v>
      </c>
      <c r="J27" s="16">
        <f>Dataset!$D27-Dataset!$C27</f>
        <v>4500</v>
      </c>
    </row>
    <row r="28" spans="1:10" x14ac:dyDescent="0.25">
      <c r="A28" s="9">
        <v>44215</v>
      </c>
      <c r="B28" s="10" t="s">
        <v>39</v>
      </c>
      <c r="C28" s="10">
        <v>40</v>
      </c>
      <c r="D28" s="10"/>
      <c r="E28" s="10" t="s">
        <v>39</v>
      </c>
      <c r="F28" s="10" t="s">
        <v>17</v>
      </c>
      <c r="G28" s="10" t="s">
        <v>14</v>
      </c>
      <c r="H28" s="10">
        <f>MONTH(Dataset!$A28)</f>
        <v>1</v>
      </c>
      <c r="I28" s="11">
        <f>WEEKDAY(Dataset!$A28)</f>
        <v>3</v>
      </c>
      <c r="J28" s="12">
        <f>Dataset!$D28-Dataset!$C28</f>
        <v>-40</v>
      </c>
    </row>
    <row r="29" spans="1:10" x14ac:dyDescent="0.25">
      <c r="A29" s="13">
        <v>44216</v>
      </c>
      <c r="B29" s="14" t="s">
        <v>40</v>
      </c>
      <c r="C29" s="14">
        <v>45</v>
      </c>
      <c r="D29" s="14"/>
      <c r="E29" s="14" t="s">
        <v>41</v>
      </c>
      <c r="F29" s="14" t="s">
        <v>28</v>
      </c>
      <c r="G29" s="14" t="s">
        <v>14</v>
      </c>
      <c r="H29" s="14">
        <f>MONTH(Dataset!$A29)</f>
        <v>1</v>
      </c>
      <c r="I29" s="15">
        <f>WEEKDAY(Dataset!$A29)</f>
        <v>4</v>
      </c>
      <c r="J29" s="16">
        <f>Dataset!$D29-Dataset!$C29</f>
        <v>-45</v>
      </c>
    </row>
    <row r="30" spans="1:10" x14ac:dyDescent="0.25">
      <c r="A30" s="9">
        <v>44216</v>
      </c>
      <c r="B30" s="10" t="s">
        <v>42</v>
      </c>
      <c r="C30" s="10">
        <v>32</v>
      </c>
      <c r="D30" s="10"/>
      <c r="E30" s="10" t="s">
        <v>27</v>
      </c>
      <c r="F30" s="10" t="s">
        <v>28</v>
      </c>
      <c r="G30" s="10" t="s">
        <v>14</v>
      </c>
      <c r="H30" s="10">
        <f>MONTH(Dataset!$A30)</f>
        <v>1</v>
      </c>
      <c r="I30" s="11">
        <f>WEEKDAY(Dataset!$A30)</f>
        <v>4</v>
      </c>
      <c r="J30" s="12">
        <f>Dataset!$D30-Dataset!$C30</f>
        <v>-32</v>
      </c>
    </row>
    <row r="31" spans="1:10" x14ac:dyDescent="0.25">
      <c r="A31" s="13">
        <v>44216</v>
      </c>
      <c r="B31" s="14" t="s">
        <v>11</v>
      </c>
      <c r="C31" s="14">
        <v>5</v>
      </c>
      <c r="D31" s="14"/>
      <c r="E31" s="14" t="s">
        <v>12</v>
      </c>
      <c r="F31" s="14" t="s">
        <v>13</v>
      </c>
      <c r="G31" s="14" t="s">
        <v>14</v>
      </c>
      <c r="H31" s="14">
        <f>MONTH(Dataset!$A31)</f>
        <v>1</v>
      </c>
      <c r="I31" s="15">
        <f>WEEKDAY(Dataset!$A31)</f>
        <v>4</v>
      </c>
      <c r="J31" s="16">
        <f>Dataset!$D31-Dataset!$C31</f>
        <v>-5</v>
      </c>
    </row>
    <row r="32" spans="1:10" x14ac:dyDescent="0.25">
      <c r="A32" s="9">
        <v>44217</v>
      </c>
      <c r="B32" s="10" t="s">
        <v>11</v>
      </c>
      <c r="C32" s="10">
        <v>5</v>
      </c>
      <c r="D32" s="10"/>
      <c r="E32" s="10" t="s">
        <v>12</v>
      </c>
      <c r="F32" s="10" t="s">
        <v>13</v>
      </c>
      <c r="G32" s="10" t="s">
        <v>14</v>
      </c>
      <c r="H32" s="10">
        <f>MONTH(Dataset!$A32)</f>
        <v>1</v>
      </c>
      <c r="I32" s="11">
        <f>WEEKDAY(Dataset!$A32)</f>
        <v>5</v>
      </c>
      <c r="J32" s="12">
        <f>Dataset!$D32-Dataset!$C32</f>
        <v>-5</v>
      </c>
    </row>
    <row r="33" spans="1:10" x14ac:dyDescent="0.25">
      <c r="A33" s="13">
        <v>44218</v>
      </c>
      <c r="B33" s="14" t="s">
        <v>11</v>
      </c>
      <c r="C33" s="14">
        <v>5</v>
      </c>
      <c r="D33" s="14"/>
      <c r="E33" s="14" t="s">
        <v>12</v>
      </c>
      <c r="F33" s="14" t="s">
        <v>13</v>
      </c>
      <c r="G33" s="14" t="s">
        <v>14</v>
      </c>
      <c r="H33" s="14">
        <f>MONTH(Dataset!$A33)</f>
        <v>1</v>
      </c>
      <c r="I33" s="15">
        <f>WEEKDAY(Dataset!$A33)</f>
        <v>6</v>
      </c>
      <c r="J33" s="16">
        <f>Dataset!$D33-Dataset!$C33</f>
        <v>-5</v>
      </c>
    </row>
    <row r="34" spans="1:10" x14ac:dyDescent="0.25">
      <c r="A34" s="9">
        <v>44218</v>
      </c>
      <c r="B34" s="10" t="s">
        <v>21</v>
      </c>
      <c r="C34" s="10">
        <v>170</v>
      </c>
      <c r="D34" s="10"/>
      <c r="E34" s="10" t="s">
        <v>22</v>
      </c>
      <c r="F34" s="10" t="s">
        <v>17</v>
      </c>
      <c r="G34" s="10" t="s">
        <v>14</v>
      </c>
      <c r="H34" s="10">
        <f>MONTH(Dataset!$A34)</f>
        <v>1</v>
      </c>
      <c r="I34" s="11">
        <f>WEEKDAY(Dataset!$A34)</f>
        <v>6</v>
      </c>
      <c r="J34" s="12">
        <f>Dataset!$D34-Dataset!$C34</f>
        <v>-170</v>
      </c>
    </row>
    <row r="35" spans="1:10" x14ac:dyDescent="0.25">
      <c r="A35" s="13">
        <v>44219</v>
      </c>
      <c r="B35" s="14" t="s">
        <v>43</v>
      </c>
      <c r="C35" s="14">
        <v>37</v>
      </c>
      <c r="D35" s="14"/>
      <c r="E35" s="14" t="s">
        <v>32</v>
      </c>
      <c r="F35" s="14" t="s">
        <v>13</v>
      </c>
      <c r="G35" s="14" t="s">
        <v>14</v>
      </c>
      <c r="H35" s="14">
        <f>MONTH(Dataset!$A35)</f>
        <v>1</v>
      </c>
      <c r="I35" s="15">
        <f>WEEKDAY(Dataset!$A35)</f>
        <v>7</v>
      </c>
      <c r="J35" s="16">
        <f>Dataset!$D35-Dataset!$C35</f>
        <v>-37</v>
      </c>
    </row>
    <row r="36" spans="1:10" x14ac:dyDescent="0.25">
      <c r="A36" s="9">
        <v>44220</v>
      </c>
      <c r="B36" s="10" t="s">
        <v>44</v>
      </c>
      <c r="C36" s="10">
        <v>12</v>
      </c>
      <c r="D36" s="10"/>
      <c r="E36" s="10" t="s">
        <v>32</v>
      </c>
      <c r="F36" s="10" t="s">
        <v>13</v>
      </c>
      <c r="G36" s="10" t="s">
        <v>14</v>
      </c>
      <c r="H36" s="10">
        <f>MONTH(Dataset!$A36)</f>
        <v>1</v>
      </c>
      <c r="I36" s="11">
        <f>WEEKDAY(Dataset!$A36)</f>
        <v>1</v>
      </c>
      <c r="J36" s="12">
        <f>Dataset!$D36-Dataset!$C36</f>
        <v>-12</v>
      </c>
    </row>
    <row r="37" spans="1:10" x14ac:dyDescent="0.25">
      <c r="A37" s="13">
        <v>44221</v>
      </c>
      <c r="B37" s="14" t="s">
        <v>45</v>
      </c>
      <c r="C37" s="14">
        <v>55</v>
      </c>
      <c r="D37" s="14"/>
      <c r="E37" s="14" t="s">
        <v>46</v>
      </c>
      <c r="F37" s="14" t="s">
        <v>47</v>
      </c>
      <c r="G37" s="14" t="s">
        <v>14</v>
      </c>
      <c r="H37" s="14">
        <f>MONTH(Dataset!$A37)</f>
        <v>1</v>
      </c>
      <c r="I37" s="15">
        <f>WEEKDAY(Dataset!$A37)</f>
        <v>2</v>
      </c>
      <c r="J37" s="16">
        <f>Dataset!$D37-Dataset!$C37</f>
        <v>-55</v>
      </c>
    </row>
    <row r="38" spans="1:10" x14ac:dyDescent="0.25">
      <c r="A38" s="9">
        <v>44221</v>
      </c>
      <c r="B38" s="10" t="s">
        <v>25</v>
      </c>
      <c r="C38" s="10">
        <v>63</v>
      </c>
      <c r="D38" s="10"/>
      <c r="E38" s="10" t="s">
        <v>48</v>
      </c>
      <c r="F38" s="10" t="s">
        <v>20</v>
      </c>
      <c r="G38" s="10" t="s">
        <v>14</v>
      </c>
      <c r="H38" s="10">
        <f>MONTH(Dataset!$A38)</f>
        <v>1</v>
      </c>
      <c r="I38" s="11">
        <f>WEEKDAY(Dataset!$A38)</f>
        <v>2</v>
      </c>
      <c r="J38" s="12">
        <f>Dataset!$D38-Dataset!$C38</f>
        <v>-63</v>
      </c>
    </row>
    <row r="39" spans="1:10" x14ac:dyDescent="0.25">
      <c r="A39" s="13">
        <v>44221</v>
      </c>
      <c r="B39" s="14" t="s">
        <v>11</v>
      </c>
      <c r="C39" s="14">
        <v>5</v>
      </c>
      <c r="D39" s="14"/>
      <c r="E39" s="14" t="s">
        <v>12</v>
      </c>
      <c r="F39" s="14" t="s">
        <v>13</v>
      </c>
      <c r="G39" s="14" t="s">
        <v>14</v>
      </c>
      <c r="H39" s="14">
        <f>MONTH(Dataset!$A39)</f>
        <v>1</v>
      </c>
      <c r="I39" s="15">
        <f>WEEKDAY(Dataset!$A39)</f>
        <v>2</v>
      </c>
      <c r="J39" s="16">
        <f>Dataset!$D39-Dataset!$C39</f>
        <v>-5</v>
      </c>
    </row>
    <row r="40" spans="1:10" x14ac:dyDescent="0.25">
      <c r="A40" s="9">
        <v>44222</v>
      </c>
      <c r="B40" s="10" t="s">
        <v>11</v>
      </c>
      <c r="C40" s="10">
        <v>5</v>
      </c>
      <c r="D40" s="10"/>
      <c r="E40" s="10" t="s">
        <v>12</v>
      </c>
      <c r="F40" s="10" t="s">
        <v>13</v>
      </c>
      <c r="G40" s="10" t="s">
        <v>14</v>
      </c>
      <c r="H40" s="10">
        <f>MONTH(Dataset!$A40)</f>
        <v>1</v>
      </c>
      <c r="I40" s="11">
        <f>WEEKDAY(Dataset!$A40)</f>
        <v>3</v>
      </c>
      <c r="J40" s="12">
        <f>Dataset!$D40-Dataset!$C40</f>
        <v>-5</v>
      </c>
    </row>
    <row r="41" spans="1:10" x14ac:dyDescent="0.25">
      <c r="A41" s="13">
        <v>44223</v>
      </c>
      <c r="B41" s="14" t="s">
        <v>11</v>
      </c>
      <c r="C41" s="14">
        <v>5</v>
      </c>
      <c r="D41" s="14"/>
      <c r="E41" s="14" t="s">
        <v>12</v>
      </c>
      <c r="F41" s="14" t="s">
        <v>13</v>
      </c>
      <c r="G41" s="14" t="s">
        <v>14</v>
      </c>
      <c r="H41" s="14">
        <f>MONTH(Dataset!$A41)</f>
        <v>1</v>
      </c>
      <c r="I41" s="15">
        <f>WEEKDAY(Dataset!$A41)</f>
        <v>4</v>
      </c>
      <c r="J41" s="16">
        <f>Dataset!$D41-Dataset!$C41</f>
        <v>-5</v>
      </c>
    </row>
    <row r="42" spans="1:10" x14ac:dyDescent="0.25">
      <c r="A42" s="9">
        <v>44224</v>
      </c>
      <c r="B42" s="10" t="s">
        <v>11</v>
      </c>
      <c r="C42" s="10">
        <v>5</v>
      </c>
      <c r="D42" s="10"/>
      <c r="E42" s="10" t="s">
        <v>12</v>
      </c>
      <c r="F42" s="10" t="s">
        <v>13</v>
      </c>
      <c r="G42" s="10" t="s">
        <v>14</v>
      </c>
      <c r="H42" s="10">
        <f>MONTH(Dataset!$A42)</f>
        <v>1</v>
      </c>
      <c r="I42" s="11">
        <f>WEEKDAY(Dataset!$A42)</f>
        <v>5</v>
      </c>
      <c r="J42" s="12">
        <f>Dataset!$D42-Dataset!$C42</f>
        <v>-5</v>
      </c>
    </row>
    <row r="43" spans="1:10" x14ac:dyDescent="0.25">
      <c r="A43" s="13">
        <v>44225</v>
      </c>
      <c r="B43" s="14" t="s">
        <v>11</v>
      </c>
      <c r="C43" s="14">
        <v>5</v>
      </c>
      <c r="D43" s="14"/>
      <c r="E43" s="14" t="s">
        <v>12</v>
      </c>
      <c r="F43" s="14" t="s">
        <v>13</v>
      </c>
      <c r="G43" s="14" t="s">
        <v>14</v>
      </c>
      <c r="H43" s="14">
        <f>MONTH(Dataset!$A43)</f>
        <v>1</v>
      </c>
      <c r="I43" s="15">
        <f>WEEKDAY(Dataset!$A43)</f>
        <v>6</v>
      </c>
      <c r="J43" s="16">
        <f>Dataset!$D43-Dataset!$C43</f>
        <v>-5</v>
      </c>
    </row>
    <row r="44" spans="1:10" x14ac:dyDescent="0.25">
      <c r="A44" s="9">
        <v>44225</v>
      </c>
      <c r="B44" s="10" t="s">
        <v>21</v>
      </c>
      <c r="C44" s="10">
        <v>162</v>
      </c>
      <c r="D44" s="10"/>
      <c r="E44" s="10" t="s">
        <v>22</v>
      </c>
      <c r="F44" s="10" t="s">
        <v>17</v>
      </c>
      <c r="G44" s="10" t="s">
        <v>14</v>
      </c>
      <c r="H44" s="10">
        <f>MONTH(Dataset!$A44)</f>
        <v>1</v>
      </c>
      <c r="I44" s="11">
        <f>WEEKDAY(Dataset!$A44)</f>
        <v>6</v>
      </c>
      <c r="J44" s="12">
        <f>Dataset!$D44-Dataset!$C44</f>
        <v>-162</v>
      </c>
    </row>
    <row r="45" spans="1:10" x14ac:dyDescent="0.25">
      <c r="A45" s="13">
        <v>44226</v>
      </c>
      <c r="B45" s="14" t="s">
        <v>49</v>
      </c>
      <c r="C45" s="14">
        <v>125</v>
      </c>
      <c r="D45" s="14"/>
      <c r="E45" s="14" t="s">
        <v>30</v>
      </c>
      <c r="F45" s="14" t="s">
        <v>28</v>
      </c>
      <c r="G45" s="14" t="s">
        <v>14</v>
      </c>
      <c r="H45" s="14">
        <f>MONTH(Dataset!$A45)</f>
        <v>1</v>
      </c>
      <c r="I45" s="15">
        <f>WEEKDAY(Dataset!$A45)</f>
        <v>7</v>
      </c>
      <c r="J45" s="16">
        <f>Dataset!$D45-Dataset!$C45</f>
        <v>-125</v>
      </c>
    </row>
    <row r="46" spans="1:10" x14ac:dyDescent="0.25">
      <c r="A46" s="9">
        <v>44226</v>
      </c>
      <c r="B46" s="10" t="s">
        <v>50</v>
      </c>
      <c r="C46" s="10">
        <v>175</v>
      </c>
      <c r="D46" s="10"/>
      <c r="E46" s="10" t="s">
        <v>27</v>
      </c>
      <c r="F46" s="10" t="s">
        <v>28</v>
      </c>
      <c r="G46" s="10" t="s">
        <v>14</v>
      </c>
      <c r="H46" s="10">
        <f>MONTH(Dataset!$A46)</f>
        <v>1</v>
      </c>
      <c r="I46" s="11">
        <f>WEEKDAY(Dataset!$A46)</f>
        <v>7</v>
      </c>
      <c r="J46" s="12">
        <f>Dataset!$D46-Dataset!$C46</f>
        <v>-175</v>
      </c>
    </row>
    <row r="47" spans="1:10" x14ac:dyDescent="0.25">
      <c r="A47" s="13">
        <v>44227</v>
      </c>
      <c r="B47" s="14" t="s">
        <v>29</v>
      </c>
      <c r="C47" s="14">
        <v>145</v>
      </c>
      <c r="D47" s="14"/>
      <c r="E47" s="14" t="s">
        <v>30</v>
      </c>
      <c r="F47" s="14" t="s">
        <v>28</v>
      </c>
      <c r="G47" s="14" t="s">
        <v>14</v>
      </c>
      <c r="H47" s="14">
        <f>MONTH(Dataset!$A47)</f>
        <v>1</v>
      </c>
      <c r="I47" s="15">
        <f>WEEKDAY(Dataset!$A47)</f>
        <v>1</v>
      </c>
      <c r="J47" s="16">
        <f>Dataset!$D47-Dataset!$C47</f>
        <v>-145</v>
      </c>
    </row>
    <row r="48" spans="1:10" x14ac:dyDescent="0.25">
      <c r="A48" s="9">
        <v>44227</v>
      </c>
      <c r="B48" s="10" t="s">
        <v>33</v>
      </c>
      <c r="C48" s="10">
        <v>23</v>
      </c>
      <c r="D48" s="10"/>
      <c r="E48" s="10" t="s">
        <v>34</v>
      </c>
      <c r="F48" s="10" t="s">
        <v>20</v>
      </c>
      <c r="G48" s="10" t="s">
        <v>14</v>
      </c>
      <c r="H48" s="10">
        <f>MONTH(Dataset!$A48)</f>
        <v>1</v>
      </c>
      <c r="I48" s="11">
        <f>WEEKDAY(Dataset!$A48)</f>
        <v>1</v>
      </c>
      <c r="J48" s="12">
        <f>Dataset!$D48-Dataset!$C48</f>
        <v>-23</v>
      </c>
    </row>
    <row r="49" spans="1:10" x14ac:dyDescent="0.25">
      <c r="A49" s="13">
        <v>44228</v>
      </c>
      <c r="B49" s="14" t="s">
        <v>7</v>
      </c>
      <c r="C49" s="14"/>
      <c r="D49" s="14">
        <v>5000</v>
      </c>
      <c r="E49" s="14" t="s">
        <v>8</v>
      </c>
      <c r="F49" s="14" t="s">
        <v>9</v>
      </c>
      <c r="G49" s="14" t="s">
        <v>10</v>
      </c>
      <c r="H49" s="14">
        <f>MONTH(Dataset!$A49)</f>
        <v>2</v>
      </c>
      <c r="I49" s="15">
        <f>WEEKDAY(Dataset!$A49)</f>
        <v>2</v>
      </c>
      <c r="J49" s="16">
        <f>Dataset!$D49-Dataset!$C49</f>
        <v>5000</v>
      </c>
    </row>
    <row r="50" spans="1:10" x14ac:dyDescent="0.25">
      <c r="A50" s="9">
        <v>44228</v>
      </c>
      <c r="B50" s="10" t="s">
        <v>11</v>
      </c>
      <c r="C50" s="10">
        <v>5</v>
      </c>
      <c r="D50" s="10"/>
      <c r="E50" s="10" t="s">
        <v>12</v>
      </c>
      <c r="F50" s="10" t="s">
        <v>13</v>
      </c>
      <c r="G50" s="10" t="s">
        <v>14</v>
      </c>
      <c r="H50" s="10">
        <f>MONTH(Dataset!$A50)</f>
        <v>2</v>
      </c>
      <c r="I50" s="11">
        <f>WEEKDAY(Dataset!$A50)</f>
        <v>2</v>
      </c>
      <c r="J50" s="12">
        <f>Dataset!$D50-Dataset!$C50</f>
        <v>-5</v>
      </c>
    </row>
    <row r="51" spans="1:10" x14ac:dyDescent="0.25">
      <c r="A51" s="13">
        <v>44229</v>
      </c>
      <c r="B51" s="14" t="s">
        <v>15</v>
      </c>
      <c r="C51" s="14">
        <v>900</v>
      </c>
      <c r="D51" s="14"/>
      <c r="E51" s="14" t="s">
        <v>16</v>
      </c>
      <c r="F51" s="14" t="s">
        <v>17</v>
      </c>
      <c r="G51" s="14" t="s">
        <v>14</v>
      </c>
      <c r="H51" s="14">
        <f>MONTH(Dataset!$A51)</f>
        <v>2</v>
      </c>
      <c r="I51" s="15">
        <f>WEEKDAY(Dataset!$A51)</f>
        <v>3</v>
      </c>
      <c r="J51" s="16">
        <f>Dataset!$D51-Dataset!$C51</f>
        <v>-900</v>
      </c>
    </row>
    <row r="52" spans="1:10" x14ac:dyDescent="0.25">
      <c r="A52" s="9">
        <v>44229</v>
      </c>
      <c r="B52" s="10" t="s">
        <v>18</v>
      </c>
      <c r="C52" s="10">
        <v>150</v>
      </c>
      <c r="D52" s="10"/>
      <c r="E52" s="10" t="s">
        <v>19</v>
      </c>
      <c r="F52" s="10" t="s">
        <v>20</v>
      </c>
      <c r="G52" s="10" t="s">
        <v>14</v>
      </c>
      <c r="H52" s="10">
        <f>MONTH(Dataset!$A52)</f>
        <v>2</v>
      </c>
      <c r="I52" s="11">
        <f>WEEKDAY(Dataset!$A52)</f>
        <v>3</v>
      </c>
      <c r="J52" s="12">
        <f>Dataset!$D52-Dataset!$C52</f>
        <v>-150</v>
      </c>
    </row>
    <row r="53" spans="1:10" x14ac:dyDescent="0.25">
      <c r="A53" s="13">
        <v>44229</v>
      </c>
      <c r="B53" s="14" t="s">
        <v>11</v>
      </c>
      <c r="C53" s="14">
        <v>5</v>
      </c>
      <c r="D53" s="14"/>
      <c r="E53" s="14" t="s">
        <v>12</v>
      </c>
      <c r="F53" s="14" t="s">
        <v>13</v>
      </c>
      <c r="G53" s="14" t="s">
        <v>14</v>
      </c>
      <c r="H53" s="14">
        <f>MONTH(Dataset!$A53)</f>
        <v>2</v>
      </c>
      <c r="I53" s="15">
        <f>WEEKDAY(Dataset!$A53)</f>
        <v>3</v>
      </c>
      <c r="J53" s="16">
        <f>Dataset!$D53-Dataset!$C53</f>
        <v>-5</v>
      </c>
    </row>
    <row r="54" spans="1:10" x14ac:dyDescent="0.25">
      <c r="A54" s="9">
        <v>44230</v>
      </c>
      <c r="B54" s="10" t="s">
        <v>11</v>
      </c>
      <c r="C54" s="10">
        <v>5</v>
      </c>
      <c r="D54" s="10"/>
      <c r="E54" s="10" t="s">
        <v>12</v>
      </c>
      <c r="F54" s="10" t="s">
        <v>13</v>
      </c>
      <c r="G54" s="10" t="s">
        <v>14</v>
      </c>
      <c r="H54" s="10">
        <f>MONTH(Dataset!$A54)</f>
        <v>2</v>
      </c>
      <c r="I54" s="11">
        <f>WEEKDAY(Dataset!$A54)</f>
        <v>4</v>
      </c>
      <c r="J54" s="12">
        <f>Dataset!$D54-Dataset!$C54</f>
        <v>-5</v>
      </c>
    </row>
    <row r="55" spans="1:10" x14ac:dyDescent="0.25">
      <c r="A55" s="13">
        <v>44231</v>
      </c>
      <c r="B55" s="14" t="s">
        <v>11</v>
      </c>
      <c r="C55" s="14">
        <v>5</v>
      </c>
      <c r="D55" s="14"/>
      <c r="E55" s="14" t="s">
        <v>12</v>
      </c>
      <c r="F55" s="14" t="s">
        <v>13</v>
      </c>
      <c r="G55" s="14" t="s">
        <v>14</v>
      </c>
      <c r="H55" s="14">
        <f>MONTH(Dataset!$A55)</f>
        <v>2</v>
      </c>
      <c r="I55" s="15">
        <f>WEEKDAY(Dataset!$A55)</f>
        <v>5</v>
      </c>
      <c r="J55" s="16">
        <f>Dataset!$D55-Dataset!$C55</f>
        <v>-5</v>
      </c>
    </row>
    <row r="56" spans="1:10" x14ac:dyDescent="0.25">
      <c r="A56" s="9">
        <v>44232</v>
      </c>
      <c r="B56" s="10" t="s">
        <v>11</v>
      </c>
      <c r="C56" s="10">
        <v>5</v>
      </c>
      <c r="D56" s="10"/>
      <c r="E56" s="10" t="s">
        <v>12</v>
      </c>
      <c r="F56" s="10" t="s">
        <v>13</v>
      </c>
      <c r="G56" s="10" t="s">
        <v>14</v>
      </c>
      <c r="H56" s="10">
        <f>MONTH(Dataset!$A56)</f>
        <v>2</v>
      </c>
      <c r="I56" s="11">
        <f>WEEKDAY(Dataset!$A56)</f>
        <v>6</v>
      </c>
      <c r="J56" s="12">
        <f>Dataset!$D56-Dataset!$C56</f>
        <v>-5</v>
      </c>
    </row>
    <row r="57" spans="1:10" x14ac:dyDescent="0.25">
      <c r="A57" s="13">
        <v>44232</v>
      </c>
      <c r="B57" s="14" t="s">
        <v>21</v>
      </c>
      <c r="C57" s="14">
        <v>205</v>
      </c>
      <c r="D57" s="14"/>
      <c r="E57" s="14" t="s">
        <v>22</v>
      </c>
      <c r="F57" s="14" t="s">
        <v>17</v>
      </c>
      <c r="G57" s="14" t="s">
        <v>14</v>
      </c>
      <c r="H57" s="14">
        <f>MONTH(Dataset!$A57)</f>
        <v>2</v>
      </c>
      <c r="I57" s="15">
        <f>WEEKDAY(Dataset!$A57)</f>
        <v>6</v>
      </c>
      <c r="J57" s="16">
        <f>Dataset!$D57-Dataset!$C57</f>
        <v>-205</v>
      </c>
    </row>
    <row r="58" spans="1:10" x14ac:dyDescent="0.25">
      <c r="A58" s="9">
        <v>44235</v>
      </c>
      <c r="B58" s="10" t="s">
        <v>23</v>
      </c>
      <c r="C58" s="10">
        <v>51.1</v>
      </c>
      <c r="D58" s="10"/>
      <c r="E58" s="10" t="s">
        <v>24</v>
      </c>
      <c r="F58" s="10" t="s">
        <v>17</v>
      </c>
      <c r="G58" s="10" t="s">
        <v>14</v>
      </c>
      <c r="H58" s="10">
        <f>MONTH(Dataset!$A58)</f>
        <v>2</v>
      </c>
      <c r="I58" s="11">
        <f>WEEKDAY(Dataset!$A58)</f>
        <v>2</v>
      </c>
      <c r="J58" s="12">
        <f>Dataset!$D58-Dataset!$C58</f>
        <v>-51.1</v>
      </c>
    </row>
    <row r="59" spans="1:10" x14ac:dyDescent="0.25">
      <c r="A59" s="13">
        <v>44235</v>
      </c>
      <c r="B59" s="14" t="s">
        <v>11</v>
      </c>
      <c r="C59" s="14">
        <v>5</v>
      </c>
      <c r="D59" s="14"/>
      <c r="E59" s="14" t="s">
        <v>12</v>
      </c>
      <c r="F59" s="14" t="s">
        <v>13</v>
      </c>
      <c r="G59" s="14" t="s">
        <v>14</v>
      </c>
      <c r="H59" s="14">
        <f>MONTH(Dataset!$A59)</f>
        <v>2</v>
      </c>
      <c r="I59" s="15">
        <f>WEEKDAY(Dataset!$A59)</f>
        <v>2</v>
      </c>
      <c r="J59" s="16">
        <f>Dataset!$D59-Dataset!$C59</f>
        <v>-5</v>
      </c>
    </row>
    <row r="60" spans="1:10" x14ac:dyDescent="0.25">
      <c r="A60" s="9">
        <v>44236</v>
      </c>
      <c r="B60" s="10" t="s">
        <v>11</v>
      </c>
      <c r="C60" s="10">
        <v>5</v>
      </c>
      <c r="D60" s="10"/>
      <c r="E60" s="10" t="s">
        <v>12</v>
      </c>
      <c r="F60" s="10" t="s">
        <v>13</v>
      </c>
      <c r="G60" s="10" t="s">
        <v>14</v>
      </c>
      <c r="H60" s="10">
        <f>MONTH(Dataset!$A60)</f>
        <v>2</v>
      </c>
      <c r="I60" s="11">
        <f>WEEKDAY(Dataset!$A60)</f>
        <v>3</v>
      </c>
      <c r="J60" s="12">
        <f>Dataset!$D60-Dataset!$C60</f>
        <v>-5</v>
      </c>
    </row>
    <row r="61" spans="1:10" x14ac:dyDescent="0.25">
      <c r="A61" s="13">
        <v>44237</v>
      </c>
      <c r="B61" s="14" t="s">
        <v>25</v>
      </c>
      <c r="C61" s="14">
        <v>78</v>
      </c>
      <c r="D61" s="14"/>
      <c r="E61" s="14" t="s">
        <v>48</v>
      </c>
      <c r="F61" s="14" t="s">
        <v>20</v>
      </c>
      <c r="G61" s="14" t="s">
        <v>14</v>
      </c>
      <c r="H61" s="14">
        <f>MONTH(Dataset!$A61)</f>
        <v>2</v>
      </c>
      <c r="I61" s="15">
        <f>WEEKDAY(Dataset!$A61)</f>
        <v>4</v>
      </c>
      <c r="J61" s="16">
        <f>Dataset!$D61-Dataset!$C61</f>
        <v>-78</v>
      </c>
    </row>
    <row r="62" spans="1:10" x14ac:dyDescent="0.25">
      <c r="A62" s="9">
        <v>44237</v>
      </c>
      <c r="B62" s="10" t="s">
        <v>11</v>
      </c>
      <c r="C62" s="10">
        <v>5</v>
      </c>
      <c r="D62" s="10"/>
      <c r="E62" s="10" t="s">
        <v>12</v>
      </c>
      <c r="F62" s="10" t="s">
        <v>13</v>
      </c>
      <c r="G62" s="10" t="s">
        <v>14</v>
      </c>
      <c r="H62" s="10">
        <f>MONTH(Dataset!$A62)</f>
        <v>2</v>
      </c>
      <c r="I62" s="11">
        <f>WEEKDAY(Dataset!$A62)</f>
        <v>4</v>
      </c>
      <c r="J62" s="12">
        <f>Dataset!$D62-Dataset!$C62</f>
        <v>-5</v>
      </c>
    </row>
    <row r="63" spans="1:10" x14ac:dyDescent="0.25">
      <c r="A63" s="13">
        <v>44238</v>
      </c>
      <c r="B63" s="14" t="s">
        <v>11</v>
      </c>
      <c r="C63" s="14">
        <v>5</v>
      </c>
      <c r="D63" s="14"/>
      <c r="E63" s="14" t="s">
        <v>12</v>
      </c>
      <c r="F63" s="14" t="s">
        <v>13</v>
      </c>
      <c r="G63" s="14" t="s">
        <v>14</v>
      </c>
      <c r="H63" s="14">
        <f>MONTH(Dataset!$A63)</f>
        <v>2</v>
      </c>
      <c r="I63" s="15">
        <f>WEEKDAY(Dataset!$A63)</f>
        <v>5</v>
      </c>
      <c r="J63" s="16">
        <f>Dataset!$D63-Dataset!$C63</f>
        <v>-5</v>
      </c>
    </row>
    <row r="64" spans="1:10" x14ac:dyDescent="0.25">
      <c r="A64" s="9">
        <v>44239</v>
      </c>
      <c r="B64" s="10" t="s">
        <v>21</v>
      </c>
      <c r="C64" s="10">
        <v>135.9</v>
      </c>
      <c r="D64" s="10"/>
      <c r="E64" s="10" t="s">
        <v>22</v>
      </c>
      <c r="F64" s="10" t="s">
        <v>17</v>
      </c>
      <c r="G64" s="10" t="s">
        <v>14</v>
      </c>
      <c r="H64" s="10">
        <f>MONTH(Dataset!$A64)</f>
        <v>2</v>
      </c>
      <c r="I64" s="11">
        <f>WEEKDAY(Dataset!$A64)</f>
        <v>6</v>
      </c>
      <c r="J64" s="12">
        <f>Dataset!$D64-Dataset!$C64</f>
        <v>-135.9</v>
      </c>
    </row>
    <row r="65" spans="1:10" x14ac:dyDescent="0.25">
      <c r="A65" s="13">
        <v>44239</v>
      </c>
      <c r="B65" s="14" t="s">
        <v>11</v>
      </c>
      <c r="C65" s="14">
        <v>5</v>
      </c>
      <c r="D65" s="14"/>
      <c r="E65" s="14" t="s">
        <v>12</v>
      </c>
      <c r="F65" s="14" t="s">
        <v>13</v>
      </c>
      <c r="G65" s="14" t="s">
        <v>14</v>
      </c>
      <c r="H65" s="14">
        <f>MONTH(Dataset!$A65)</f>
        <v>2</v>
      </c>
      <c r="I65" s="15">
        <f>WEEKDAY(Dataset!$A65)</f>
        <v>6</v>
      </c>
      <c r="J65" s="16">
        <f>Dataset!$D65-Dataset!$C65</f>
        <v>-5</v>
      </c>
    </row>
    <row r="66" spans="1:10" x14ac:dyDescent="0.25">
      <c r="A66" s="9">
        <v>44240</v>
      </c>
      <c r="B66" s="10" t="s">
        <v>11</v>
      </c>
      <c r="C66" s="10">
        <v>5</v>
      </c>
      <c r="D66" s="10"/>
      <c r="E66" s="10" t="s">
        <v>12</v>
      </c>
      <c r="F66" s="10" t="s">
        <v>13</v>
      </c>
      <c r="G66" s="10" t="s">
        <v>14</v>
      </c>
      <c r="H66" s="10">
        <f>MONTH(Dataset!$A66)</f>
        <v>2</v>
      </c>
      <c r="I66" s="11">
        <f>WEEKDAY(Dataset!$A66)</f>
        <v>7</v>
      </c>
      <c r="J66" s="12">
        <f>Dataset!$D66-Dataset!$C66</f>
        <v>-5</v>
      </c>
    </row>
    <row r="67" spans="1:10" x14ac:dyDescent="0.25">
      <c r="A67" s="13">
        <v>44240</v>
      </c>
      <c r="B67" s="14" t="s">
        <v>26</v>
      </c>
      <c r="C67" s="14">
        <v>40.9</v>
      </c>
      <c r="D67" s="14"/>
      <c r="E67" s="14" t="s">
        <v>27</v>
      </c>
      <c r="F67" s="14" t="s">
        <v>28</v>
      </c>
      <c r="G67" s="14" t="s">
        <v>14</v>
      </c>
      <c r="H67" s="14">
        <f>MONTH(Dataset!$A67)</f>
        <v>2</v>
      </c>
      <c r="I67" s="15">
        <f>WEEKDAY(Dataset!$A67)</f>
        <v>7</v>
      </c>
      <c r="J67" s="16">
        <f>Dataset!$D67-Dataset!$C67</f>
        <v>-40.9</v>
      </c>
    </row>
    <row r="68" spans="1:10" x14ac:dyDescent="0.25">
      <c r="A68" s="9">
        <v>44240</v>
      </c>
      <c r="B68" s="10" t="s">
        <v>29</v>
      </c>
      <c r="C68" s="10">
        <v>99</v>
      </c>
      <c r="D68" s="10"/>
      <c r="E68" s="10" t="s">
        <v>30</v>
      </c>
      <c r="F68" s="10" t="s">
        <v>28</v>
      </c>
      <c r="G68" s="10" t="s">
        <v>14</v>
      </c>
      <c r="H68" s="10">
        <f>MONTH(Dataset!$A68)</f>
        <v>2</v>
      </c>
      <c r="I68" s="11">
        <f>WEEKDAY(Dataset!$A68)</f>
        <v>7</v>
      </c>
      <c r="J68" s="12">
        <f>Dataset!$D68-Dataset!$C68</f>
        <v>-99</v>
      </c>
    </row>
    <row r="69" spans="1:10" x14ac:dyDescent="0.25">
      <c r="A69" s="13">
        <v>44240</v>
      </c>
      <c r="B69" s="14" t="s">
        <v>31</v>
      </c>
      <c r="C69" s="14">
        <v>53</v>
      </c>
      <c r="D69" s="14"/>
      <c r="E69" s="14" t="s">
        <v>32</v>
      </c>
      <c r="F69" s="14" t="s">
        <v>13</v>
      </c>
      <c r="G69" s="14" t="s">
        <v>14</v>
      </c>
      <c r="H69" s="14">
        <f>MONTH(Dataset!$A69)</f>
        <v>2</v>
      </c>
      <c r="I69" s="15">
        <f>WEEKDAY(Dataset!$A69)</f>
        <v>7</v>
      </c>
      <c r="J69" s="16">
        <f>Dataset!$D69-Dataset!$C69</f>
        <v>-53</v>
      </c>
    </row>
    <row r="70" spans="1:10" x14ac:dyDescent="0.25">
      <c r="A70" s="9">
        <v>44241</v>
      </c>
      <c r="B70" s="10" t="s">
        <v>33</v>
      </c>
      <c r="C70" s="10">
        <v>28.9</v>
      </c>
      <c r="D70" s="10"/>
      <c r="E70" s="10" t="s">
        <v>34</v>
      </c>
      <c r="F70" s="10" t="s">
        <v>20</v>
      </c>
      <c r="G70" s="10" t="s">
        <v>14</v>
      </c>
      <c r="H70" s="10">
        <f>MONTH(Dataset!$A70)</f>
        <v>2</v>
      </c>
      <c r="I70" s="11">
        <f>WEEKDAY(Dataset!$A70)</f>
        <v>1</v>
      </c>
      <c r="J70" s="12">
        <f>Dataset!$D70-Dataset!$C70</f>
        <v>-28.9</v>
      </c>
    </row>
    <row r="71" spans="1:10" x14ac:dyDescent="0.25">
      <c r="A71" s="13">
        <v>44242</v>
      </c>
      <c r="B71" s="14" t="s">
        <v>35</v>
      </c>
      <c r="C71" s="14"/>
      <c r="D71" s="14">
        <v>800</v>
      </c>
      <c r="E71" s="14" t="s">
        <v>36</v>
      </c>
      <c r="F71" s="14" t="s">
        <v>37</v>
      </c>
      <c r="G71" s="14" t="s">
        <v>10</v>
      </c>
      <c r="H71" s="14">
        <f>MONTH(Dataset!$A71)</f>
        <v>2</v>
      </c>
      <c r="I71" s="15">
        <f>WEEKDAY(Dataset!$A71)</f>
        <v>2</v>
      </c>
      <c r="J71" s="16">
        <f>Dataset!$D71-Dataset!$C71</f>
        <v>800</v>
      </c>
    </row>
    <row r="72" spans="1:10" x14ac:dyDescent="0.25">
      <c r="A72" s="9">
        <v>44242</v>
      </c>
      <c r="B72" s="10" t="s">
        <v>11</v>
      </c>
      <c r="C72" s="10">
        <v>5</v>
      </c>
      <c r="D72" s="10"/>
      <c r="E72" s="10" t="s">
        <v>12</v>
      </c>
      <c r="F72" s="10" t="s">
        <v>13</v>
      </c>
      <c r="G72" s="10" t="s">
        <v>14</v>
      </c>
      <c r="H72" s="10">
        <f>MONTH(Dataset!$A72)</f>
        <v>2</v>
      </c>
      <c r="I72" s="11">
        <f>WEEKDAY(Dataset!$A72)</f>
        <v>2</v>
      </c>
      <c r="J72" s="12">
        <f>Dataset!$D72-Dataset!$C72</f>
        <v>-5</v>
      </c>
    </row>
    <row r="73" spans="1:10" x14ac:dyDescent="0.25">
      <c r="A73" s="13">
        <v>44243</v>
      </c>
      <c r="B73" s="14" t="s">
        <v>11</v>
      </c>
      <c r="C73" s="14">
        <v>5</v>
      </c>
      <c r="D73" s="14"/>
      <c r="E73" s="14" t="s">
        <v>12</v>
      </c>
      <c r="F73" s="14" t="s">
        <v>13</v>
      </c>
      <c r="G73" s="14" t="s">
        <v>14</v>
      </c>
      <c r="H73" s="14">
        <f>MONTH(Dataset!$A73)</f>
        <v>2</v>
      </c>
      <c r="I73" s="15">
        <f>WEEKDAY(Dataset!$A73)</f>
        <v>3</v>
      </c>
      <c r="J73" s="16">
        <f>Dataset!$D73-Dataset!$C73</f>
        <v>-5</v>
      </c>
    </row>
    <row r="74" spans="1:10" x14ac:dyDescent="0.25">
      <c r="A74" s="9">
        <v>44243</v>
      </c>
      <c r="B74" s="10" t="s">
        <v>39</v>
      </c>
      <c r="C74" s="10">
        <v>40</v>
      </c>
      <c r="D74" s="10"/>
      <c r="E74" s="10" t="s">
        <v>39</v>
      </c>
      <c r="F74" s="10" t="s">
        <v>17</v>
      </c>
      <c r="G74" s="10" t="s">
        <v>14</v>
      </c>
      <c r="H74" s="10">
        <f>MONTH(Dataset!$A74)</f>
        <v>2</v>
      </c>
      <c r="I74" s="11">
        <f>WEEKDAY(Dataset!$A74)</f>
        <v>3</v>
      </c>
      <c r="J74" s="12">
        <f>Dataset!$D74-Dataset!$C74</f>
        <v>-40</v>
      </c>
    </row>
    <row r="75" spans="1:10" x14ac:dyDescent="0.25">
      <c r="A75" s="13">
        <v>44244</v>
      </c>
      <c r="B75" s="14" t="s">
        <v>40</v>
      </c>
      <c r="C75" s="14">
        <v>45.9</v>
      </c>
      <c r="D75" s="14"/>
      <c r="E75" s="14" t="s">
        <v>41</v>
      </c>
      <c r="F75" s="14" t="s">
        <v>28</v>
      </c>
      <c r="G75" s="14" t="s">
        <v>14</v>
      </c>
      <c r="H75" s="14">
        <f>MONTH(Dataset!$A75)</f>
        <v>2</v>
      </c>
      <c r="I75" s="15">
        <f>WEEKDAY(Dataset!$A75)</f>
        <v>4</v>
      </c>
      <c r="J75" s="16">
        <f>Dataset!$D75-Dataset!$C75</f>
        <v>-45.9</v>
      </c>
    </row>
    <row r="76" spans="1:10" x14ac:dyDescent="0.25">
      <c r="A76" s="9">
        <v>44244</v>
      </c>
      <c r="B76" s="10" t="s">
        <v>42</v>
      </c>
      <c r="C76" s="10">
        <v>35</v>
      </c>
      <c r="D76" s="10"/>
      <c r="E76" s="10" t="s">
        <v>27</v>
      </c>
      <c r="F76" s="10" t="s">
        <v>28</v>
      </c>
      <c r="G76" s="10" t="s">
        <v>14</v>
      </c>
      <c r="H76" s="10">
        <f>MONTH(Dataset!$A76)</f>
        <v>2</v>
      </c>
      <c r="I76" s="11">
        <f>WEEKDAY(Dataset!$A76)</f>
        <v>4</v>
      </c>
      <c r="J76" s="12">
        <f>Dataset!$D76-Dataset!$C76</f>
        <v>-35</v>
      </c>
    </row>
    <row r="77" spans="1:10" x14ac:dyDescent="0.25">
      <c r="A77" s="13">
        <v>44244</v>
      </c>
      <c r="B77" s="14" t="s">
        <v>11</v>
      </c>
      <c r="C77" s="14">
        <v>5</v>
      </c>
      <c r="D77" s="14"/>
      <c r="E77" s="14" t="s">
        <v>12</v>
      </c>
      <c r="F77" s="14" t="s">
        <v>13</v>
      </c>
      <c r="G77" s="14" t="s">
        <v>14</v>
      </c>
      <c r="H77" s="14">
        <f>MONTH(Dataset!$A77)</f>
        <v>2</v>
      </c>
      <c r="I77" s="15">
        <f>WEEKDAY(Dataset!$A77)</f>
        <v>4</v>
      </c>
      <c r="J77" s="16">
        <f>Dataset!$D77-Dataset!$C77</f>
        <v>-5</v>
      </c>
    </row>
    <row r="78" spans="1:10" x14ac:dyDescent="0.25">
      <c r="A78" s="9">
        <v>44245</v>
      </c>
      <c r="B78" s="10" t="s">
        <v>11</v>
      </c>
      <c r="C78" s="10">
        <v>5</v>
      </c>
      <c r="D78" s="10"/>
      <c r="E78" s="10" t="s">
        <v>12</v>
      </c>
      <c r="F78" s="10" t="s">
        <v>13</v>
      </c>
      <c r="G78" s="10" t="s">
        <v>14</v>
      </c>
      <c r="H78" s="10">
        <f>MONTH(Dataset!$A78)</f>
        <v>2</v>
      </c>
      <c r="I78" s="11">
        <f>WEEKDAY(Dataset!$A78)</f>
        <v>5</v>
      </c>
      <c r="J78" s="12">
        <f>Dataset!$D78-Dataset!$C78</f>
        <v>-5</v>
      </c>
    </row>
    <row r="79" spans="1:10" x14ac:dyDescent="0.25">
      <c r="A79" s="13">
        <v>44246</v>
      </c>
      <c r="B79" s="14" t="s">
        <v>11</v>
      </c>
      <c r="C79" s="14">
        <v>5</v>
      </c>
      <c r="D79" s="14"/>
      <c r="E79" s="14" t="s">
        <v>12</v>
      </c>
      <c r="F79" s="14" t="s">
        <v>13</v>
      </c>
      <c r="G79" s="14" t="s">
        <v>14</v>
      </c>
      <c r="H79" s="14">
        <f>MONTH(Dataset!$A79)</f>
        <v>2</v>
      </c>
      <c r="I79" s="15">
        <f>WEEKDAY(Dataset!$A79)</f>
        <v>6</v>
      </c>
      <c r="J79" s="16">
        <f>Dataset!$D79-Dataset!$C79</f>
        <v>-5</v>
      </c>
    </row>
    <row r="80" spans="1:10" x14ac:dyDescent="0.25">
      <c r="A80" s="9">
        <v>44246</v>
      </c>
      <c r="B80" s="10" t="s">
        <v>21</v>
      </c>
      <c r="C80" s="10">
        <v>171</v>
      </c>
      <c r="D80" s="10"/>
      <c r="E80" s="10" t="s">
        <v>22</v>
      </c>
      <c r="F80" s="10" t="s">
        <v>17</v>
      </c>
      <c r="G80" s="10" t="s">
        <v>14</v>
      </c>
      <c r="H80" s="10">
        <f>MONTH(Dataset!$A80)</f>
        <v>2</v>
      </c>
      <c r="I80" s="11">
        <f>WEEKDAY(Dataset!$A80)</f>
        <v>6</v>
      </c>
      <c r="J80" s="12">
        <f>Dataset!$D80-Dataset!$C80</f>
        <v>-171</v>
      </c>
    </row>
    <row r="81" spans="1:10" x14ac:dyDescent="0.25">
      <c r="A81" s="13">
        <v>44247</v>
      </c>
      <c r="B81" s="14" t="s">
        <v>43</v>
      </c>
      <c r="C81" s="14">
        <v>37.9</v>
      </c>
      <c r="D81" s="14"/>
      <c r="E81" s="14" t="s">
        <v>32</v>
      </c>
      <c r="F81" s="14" t="s">
        <v>13</v>
      </c>
      <c r="G81" s="14" t="s">
        <v>14</v>
      </c>
      <c r="H81" s="14">
        <f>MONTH(Dataset!$A81)</f>
        <v>2</v>
      </c>
      <c r="I81" s="15">
        <f>WEEKDAY(Dataset!$A81)</f>
        <v>7</v>
      </c>
      <c r="J81" s="16">
        <f>Dataset!$D81-Dataset!$C81</f>
        <v>-37.9</v>
      </c>
    </row>
    <row r="82" spans="1:10" x14ac:dyDescent="0.25">
      <c r="A82" s="9">
        <v>44248</v>
      </c>
      <c r="B82" s="10" t="s">
        <v>44</v>
      </c>
      <c r="C82" s="10">
        <v>12.9</v>
      </c>
      <c r="D82" s="10"/>
      <c r="E82" s="10" t="s">
        <v>32</v>
      </c>
      <c r="F82" s="10" t="s">
        <v>13</v>
      </c>
      <c r="G82" s="10" t="s">
        <v>14</v>
      </c>
      <c r="H82" s="10">
        <f>MONTH(Dataset!$A82)</f>
        <v>2</v>
      </c>
      <c r="I82" s="11">
        <f>WEEKDAY(Dataset!$A82)</f>
        <v>1</v>
      </c>
      <c r="J82" s="12">
        <f>Dataset!$D82-Dataset!$C82</f>
        <v>-12.9</v>
      </c>
    </row>
    <row r="83" spans="1:10" x14ac:dyDescent="0.25">
      <c r="A83" s="13">
        <v>44249</v>
      </c>
      <c r="B83" s="14" t="s">
        <v>45</v>
      </c>
      <c r="C83" s="14">
        <v>55</v>
      </c>
      <c r="D83" s="14"/>
      <c r="E83" s="14" t="s">
        <v>46</v>
      </c>
      <c r="F83" s="14" t="s">
        <v>47</v>
      </c>
      <c r="G83" s="14" t="s">
        <v>14</v>
      </c>
      <c r="H83" s="14">
        <f>MONTH(Dataset!$A83)</f>
        <v>2</v>
      </c>
      <c r="I83" s="15">
        <f>WEEKDAY(Dataset!$A83)</f>
        <v>2</v>
      </c>
      <c r="J83" s="16">
        <f>Dataset!$D83-Dataset!$C83</f>
        <v>-55</v>
      </c>
    </row>
    <row r="84" spans="1:10" x14ac:dyDescent="0.25">
      <c r="A84" s="9">
        <v>44249</v>
      </c>
      <c r="B84" s="10" t="s">
        <v>25</v>
      </c>
      <c r="C84" s="10">
        <v>64.099999999999994</v>
      </c>
      <c r="D84" s="10"/>
      <c r="E84" s="10" t="s">
        <v>48</v>
      </c>
      <c r="F84" s="10" t="s">
        <v>20</v>
      </c>
      <c r="G84" s="10" t="s">
        <v>14</v>
      </c>
      <c r="H84" s="10">
        <f>MONTH(Dataset!$A84)</f>
        <v>2</v>
      </c>
      <c r="I84" s="11">
        <f>WEEKDAY(Dataset!$A84)</f>
        <v>2</v>
      </c>
      <c r="J84" s="12">
        <f>Dataset!$D84-Dataset!$C84</f>
        <v>-64.099999999999994</v>
      </c>
    </row>
    <row r="85" spans="1:10" x14ac:dyDescent="0.25">
      <c r="A85" s="13">
        <v>44249</v>
      </c>
      <c r="B85" s="14" t="s">
        <v>11</v>
      </c>
      <c r="C85" s="14">
        <v>5</v>
      </c>
      <c r="D85" s="14"/>
      <c r="E85" s="14" t="s">
        <v>12</v>
      </c>
      <c r="F85" s="14" t="s">
        <v>13</v>
      </c>
      <c r="G85" s="14" t="s">
        <v>14</v>
      </c>
      <c r="H85" s="14">
        <f>MONTH(Dataset!$A85)</f>
        <v>2</v>
      </c>
      <c r="I85" s="15">
        <f>WEEKDAY(Dataset!$A85)</f>
        <v>2</v>
      </c>
      <c r="J85" s="16">
        <f>Dataset!$D85-Dataset!$C85</f>
        <v>-5</v>
      </c>
    </row>
    <row r="86" spans="1:10" x14ac:dyDescent="0.25">
      <c r="A86" s="9">
        <v>44250</v>
      </c>
      <c r="B86" s="10" t="s">
        <v>11</v>
      </c>
      <c r="C86" s="10">
        <v>5</v>
      </c>
      <c r="D86" s="10"/>
      <c r="E86" s="10" t="s">
        <v>12</v>
      </c>
      <c r="F86" s="10" t="s">
        <v>13</v>
      </c>
      <c r="G86" s="10" t="s">
        <v>14</v>
      </c>
      <c r="H86" s="10">
        <f>MONTH(Dataset!$A86)</f>
        <v>2</v>
      </c>
      <c r="I86" s="11">
        <f>WEEKDAY(Dataset!$A86)</f>
        <v>3</v>
      </c>
      <c r="J86" s="12">
        <f>Dataset!$D86-Dataset!$C86</f>
        <v>-5</v>
      </c>
    </row>
    <row r="87" spans="1:10" x14ac:dyDescent="0.25">
      <c r="A87" s="13">
        <v>44251</v>
      </c>
      <c r="B87" s="14" t="s">
        <v>11</v>
      </c>
      <c r="C87" s="14">
        <v>5</v>
      </c>
      <c r="D87" s="14"/>
      <c r="E87" s="14" t="s">
        <v>12</v>
      </c>
      <c r="F87" s="14" t="s">
        <v>13</v>
      </c>
      <c r="G87" s="14" t="s">
        <v>14</v>
      </c>
      <c r="H87" s="14">
        <f>MONTH(Dataset!$A87)</f>
        <v>2</v>
      </c>
      <c r="I87" s="15">
        <f>WEEKDAY(Dataset!$A87)</f>
        <v>4</v>
      </c>
      <c r="J87" s="16">
        <f>Dataset!$D87-Dataset!$C87</f>
        <v>-5</v>
      </c>
    </row>
    <row r="88" spans="1:10" x14ac:dyDescent="0.25">
      <c r="A88" s="9">
        <v>44252</v>
      </c>
      <c r="B88" s="10" t="s">
        <v>11</v>
      </c>
      <c r="C88" s="10">
        <v>5</v>
      </c>
      <c r="D88" s="10"/>
      <c r="E88" s="10" t="s">
        <v>12</v>
      </c>
      <c r="F88" s="10" t="s">
        <v>13</v>
      </c>
      <c r="G88" s="10" t="s">
        <v>14</v>
      </c>
      <c r="H88" s="10">
        <f>MONTH(Dataset!$A88)</f>
        <v>2</v>
      </c>
      <c r="I88" s="11">
        <f>WEEKDAY(Dataset!$A88)</f>
        <v>5</v>
      </c>
      <c r="J88" s="12">
        <f>Dataset!$D88-Dataset!$C88</f>
        <v>-5</v>
      </c>
    </row>
    <row r="89" spans="1:10" x14ac:dyDescent="0.25">
      <c r="A89" s="13">
        <v>44253</v>
      </c>
      <c r="B89" s="14" t="s">
        <v>11</v>
      </c>
      <c r="C89" s="14">
        <v>5</v>
      </c>
      <c r="D89" s="14"/>
      <c r="E89" s="14" t="s">
        <v>12</v>
      </c>
      <c r="F89" s="14" t="s">
        <v>13</v>
      </c>
      <c r="G89" s="14" t="s">
        <v>14</v>
      </c>
      <c r="H89" s="14">
        <f>MONTH(Dataset!$A89)</f>
        <v>2</v>
      </c>
      <c r="I89" s="15">
        <f>WEEKDAY(Dataset!$A89)</f>
        <v>6</v>
      </c>
      <c r="J89" s="16">
        <f>Dataset!$D89-Dataset!$C89</f>
        <v>-5</v>
      </c>
    </row>
    <row r="90" spans="1:10" x14ac:dyDescent="0.25">
      <c r="A90" s="9">
        <v>44253</v>
      </c>
      <c r="B90" s="10" t="s">
        <v>21</v>
      </c>
      <c r="C90" s="10">
        <v>162.9</v>
      </c>
      <c r="D90" s="10"/>
      <c r="E90" s="10" t="s">
        <v>22</v>
      </c>
      <c r="F90" s="10" t="s">
        <v>17</v>
      </c>
      <c r="G90" s="10" t="s">
        <v>14</v>
      </c>
      <c r="H90" s="10">
        <f>MONTH(Dataset!$A90)</f>
        <v>2</v>
      </c>
      <c r="I90" s="11">
        <f>WEEKDAY(Dataset!$A90)</f>
        <v>6</v>
      </c>
      <c r="J90" s="12">
        <f>Dataset!$D90-Dataset!$C90</f>
        <v>-162.9</v>
      </c>
    </row>
    <row r="91" spans="1:10" x14ac:dyDescent="0.25">
      <c r="A91" s="13">
        <v>44254</v>
      </c>
      <c r="B91" s="14" t="s">
        <v>49</v>
      </c>
      <c r="C91" s="14">
        <v>125.9</v>
      </c>
      <c r="D91" s="14"/>
      <c r="E91" s="14" t="s">
        <v>30</v>
      </c>
      <c r="F91" s="14" t="s">
        <v>28</v>
      </c>
      <c r="G91" s="14" t="s">
        <v>14</v>
      </c>
      <c r="H91" s="14">
        <f>MONTH(Dataset!$A91)</f>
        <v>2</v>
      </c>
      <c r="I91" s="15">
        <f>WEEKDAY(Dataset!$A91)</f>
        <v>7</v>
      </c>
      <c r="J91" s="16">
        <f>Dataset!$D91-Dataset!$C91</f>
        <v>-125.9</v>
      </c>
    </row>
    <row r="92" spans="1:10" x14ac:dyDescent="0.25">
      <c r="A92" s="9">
        <v>44254</v>
      </c>
      <c r="B92" s="10" t="s">
        <v>51</v>
      </c>
      <c r="C92" s="10">
        <v>137</v>
      </c>
      <c r="D92" s="10"/>
      <c r="E92" s="10" t="s">
        <v>30</v>
      </c>
      <c r="F92" s="10" t="s">
        <v>28</v>
      </c>
      <c r="G92" s="10" t="s">
        <v>14</v>
      </c>
      <c r="H92" s="10">
        <f>MONTH(Dataset!$A92)</f>
        <v>2</v>
      </c>
      <c r="I92" s="11">
        <f>WEEKDAY(Dataset!$A92)</f>
        <v>7</v>
      </c>
      <c r="J92" s="12">
        <f>Dataset!$D92-Dataset!$C92</f>
        <v>-137</v>
      </c>
    </row>
    <row r="93" spans="1:10" x14ac:dyDescent="0.25">
      <c r="A93" s="13">
        <v>44255</v>
      </c>
      <c r="B93" s="14" t="s">
        <v>29</v>
      </c>
      <c r="C93" s="14">
        <v>146.1</v>
      </c>
      <c r="D93" s="14"/>
      <c r="E93" s="14" t="s">
        <v>30</v>
      </c>
      <c r="F93" s="14" t="s">
        <v>28</v>
      </c>
      <c r="G93" s="14" t="s">
        <v>14</v>
      </c>
      <c r="H93" s="14">
        <f>MONTH(Dataset!$A93)</f>
        <v>2</v>
      </c>
      <c r="I93" s="15">
        <f>WEEKDAY(Dataset!$A93)</f>
        <v>1</v>
      </c>
      <c r="J93" s="16">
        <f>Dataset!$D93-Dataset!$C93</f>
        <v>-146.1</v>
      </c>
    </row>
    <row r="94" spans="1:10" x14ac:dyDescent="0.25">
      <c r="A94" s="9">
        <v>44255</v>
      </c>
      <c r="B94" s="10" t="s">
        <v>33</v>
      </c>
      <c r="C94" s="10">
        <v>24.1</v>
      </c>
      <c r="D94" s="10"/>
      <c r="E94" s="10" t="s">
        <v>34</v>
      </c>
      <c r="F94" s="10" t="s">
        <v>20</v>
      </c>
      <c r="G94" s="10" t="s">
        <v>14</v>
      </c>
      <c r="H94" s="10">
        <f>MONTH(Dataset!$A94)</f>
        <v>2</v>
      </c>
      <c r="I94" s="11">
        <f>WEEKDAY(Dataset!$A94)</f>
        <v>1</v>
      </c>
      <c r="J94" s="12">
        <f>Dataset!$D94-Dataset!$C94</f>
        <v>-24.1</v>
      </c>
    </row>
    <row r="95" spans="1:10" x14ac:dyDescent="0.25">
      <c r="A95" s="13">
        <v>44256</v>
      </c>
      <c r="B95" s="14" t="s">
        <v>7</v>
      </c>
      <c r="C95" s="14"/>
      <c r="D95" s="14">
        <v>5000</v>
      </c>
      <c r="E95" s="14" t="s">
        <v>8</v>
      </c>
      <c r="F95" s="14" t="s">
        <v>9</v>
      </c>
      <c r="G95" s="14" t="s">
        <v>10</v>
      </c>
      <c r="H95" s="14">
        <f>MONTH(Dataset!$A95)</f>
        <v>3</v>
      </c>
      <c r="I95" s="15">
        <f>WEEKDAY(Dataset!$A95)</f>
        <v>2</v>
      </c>
      <c r="J95" s="16">
        <f>Dataset!$D95-Dataset!$C95</f>
        <v>5000</v>
      </c>
    </row>
    <row r="96" spans="1:10" x14ac:dyDescent="0.25">
      <c r="A96" s="9">
        <v>44256</v>
      </c>
      <c r="B96" s="10" t="s">
        <v>11</v>
      </c>
      <c r="C96" s="10">
        <v>5</v>
      </c>
      <c r="D96" s="10"/>
      <c r="E96" s="10" t="s">
        <v>12</v>
      </c>
      <c r="F96" s="10" t="s">
        <v>13</v>
      </c>
      <c r="G96" s="10" t="s">
        <v>14</v>
      </c>
      <c r="H96" s="10">
        <f>MONTH(Dataset!$A96)</f>
        <v>3</v>
      </c>
      <c r="I96" s="11">
        <f>WEEKDAY(Dataset!$A96)</f>
        <v>2</v>
      </c>
      <c r="J96" s="12">
        <f>Dataset!$D96-Dataset!$C96</f>
        <v>-5</v>
      </c>
    </row>
    <row r="97" spans="1:10" x14ac:dyDescent="0.25">
      <c r="A97" s="13">
        <v>44257</v>
      </c>
      <c r="B97" s="14" t="s">
        <v>15</v>
      </c>
      <c r="C97" s="14">
        <v>900</v>
      </c>
      <c r="D97" s="14"/>
      <c r="E97" s="14" t="s">
        <v>16</v>
      </c>
      <c r="F97" s="14" t="s">
        <v>17</v>
      </c>
      <c r="G97" s="14" t="s">
        <v>14</v>
      </c>
      <c r="H97" s="14">
        <f>MONTH(Dataset!$A97)</f>
        <v>3</v>
      </c>
      <c r="I97" s="15">
        <f>WEEKDAY(Dataset!$A97)</f>
        <v>3</v>
      </c>
      <c r="J97" s="16">
        <f>Dataset!$D97-Dataset!$C97</f>
        <v>-900</v>
      </c>
    </row>
    <row r="98" spans="1:10" x14ac:dyDescent="0.25">
      <c r="A98" s="9">
        <v>44257</v>
      </c>
      <c r="B98" s="10" t="s">
        <v>18</v>
      </c>
      <c r="C98" s="10">
        <v>150</v>
      </c>
      <c r="D98" s="10"/>
      <c r="E98" s="10" t="s">
        <v>19</v>
      </c>
      <c r="F98" s="10" t="s">
        <v>20</v>
      </c>
      <c r="G98" s="10" t="s">
        <v>14</v>
      </c>
      <c r="H98" s="10">
        <f>MONTH(Dataset!$A98)</f>
        <v>3</v>
      </c>
      <c r="I98" s="11">
        <f>WEEKDAY(Dataset!$A98)</f>
        <v>3</v>
      </c>
      <c r="J98" s="12">
        <f>Dataset!$D98-Dataset!$C98</f>
        <v>-150</v>
      </c>
    </row>
    <row r="99" spans="1:10" x14ac:dyDescent="0.25">
      <c r="A99" s="13">
        <v>44257</v>
      </c>
      <c r="B99" s="14" t="s">
        <v>11</v>
      </c>
      <c r="C99" s="14">
        <v>5</v>
      </c>
      <c r="D99" s="14"/>
      <c r="E99" s="14" t="s">
        <v>12</v>
      </c>
      <c r="F99" s="14" t="s">
        <v>13</v>
      </c>
      <c r="G99" s="14" t="s">
        <v>14</v>
      </c>
      <c r="H99" s="14">
        <f>MONTH(Dataset!$A99)</f>
        <v>3</v>
      </c>
      <c r="I99" s="15">
        <f>WEEKDAY(Dataset!$A99)</f>
        <v>3</v>
      </c>
      <c r="J99" s="16">
        <f>Dataset!$D99-Dataset!$C99</f>
        <v>-5</v>
      </c>
    </row>
    <row r="100" spans="1:10" x14ac:dyDescent="0.25">
      <c r="A100" s="9">
        <v>44258</v>
      </c>
      <c r="B100" s="10" t="s">
        <v>11</v>
      </c>
      <c r="C100" s="10">
        <v>5</v>
      </c>
      <c r="D100" s="10"/>
      <c r="E100" s="10" t="s">
        <v>12</v>
      </c>
      <c r="F100" s="10" t="s">
        <v>13</v>
      </c>
      <c r="G100" s="10" t="s">
        <v>14</v>
      </c>
      <c r="H100" s="10">
        <f>MONTH(Dataset!$A100)</f>
        <v>3</v>
      </c>
      <c r="I100" s="11">
        <f>WEEKDAY(Dataset!$A100)</f>
        <v>4</v>
      </c>
      <c r="J100" s="12">
        <f>Dataset!$D100-Dataset!$C100</f>
        <v>-5</v>
      </c>
    </row>
    <row r="101" spans="1:10" x14ac:dyDescent="0.25">
      <c r="A101" s="13">
        <v>44259</v>
      </c>
      <c r="B101" s="14" t="s">
        <v>11</v>
      </c>
      <c r="C101" s="14">
        <v>5</v>
      </c>
      <c r="D101" s="14"/>
      <c r="E101" s="14" t="s">
        <v>12</v>
      </c>
      <c r="F101" s="14" t="s">
        <v>13</v>
      </c>
      <c r="G101" s="14" t="s">
        <v>14</v>
      </c>
      <c r="H101" s="14">
        <f>MONTH(Dataset!$A101)</f>
        <v>3</v>
      </c>
      <c r="I101" s="15">
        <f>WEEKDAY(Dataset!$A101)</f>
        <v>5</v>
      </c>
      <c r="J101" s="16">
        <f>Dataset!$D101-Dataset!$C101</f>
        <v>-5</v>
      </c>
    </row>
    <row r="102" spans="1:10" x14ac:dyDescent="0.25">
      <c r="A102" s="9">
        <v>44260</v>
      </c>
      <c r="B102" s="10" t="s">
        <v>11</v>
      </c>
      <c r="C102" s="10">
        <v>5</v>
      </c>
      <c r="D102" s="10"/>
      <c r="E102" s="10" t="s">
        <v>12</v>
      </c>
      <c r="F102" s="10" t="s">
        <v>13</v>
      </c>
      <c r="G102" s="10" t="s">
        <v>14</v>
      </c>
      <c r="H102" s="10">
        <f>MONTH(Dataset!$A102)</f>
        <v>3</v>
      </c>
      <c r="I102" s="11">
        <f>WEEKDAY(Dataset!$A102)</f>
        <v>6</v>
      </c>
      <c r="J102" s="12">
        <f>Dataset!$D102-Dataset!$C102</f>
        <v>-5</v>
      </c>
    </row>
    <row r="103" spans="1:10" x14ac:dyDescent="0.25">
      <c r="A103" s="13">
        <v>44260</v>
      </c>
      <c r="B103" s="14" t="s">
        <v>21</v>
      </c>
      <c r="C103" s="14">
        <v>149</v>
      </c>
      <c r="D103" s="14"/>
      <c r="E103" s="14" t="s">
        <v>22</v>
      </c>
      <c r="F103" s="14" t="s">
        <v>17</v>
      </c>
      <c r="G103" s="14" t="s">
        <v>14</v>
      </c>
      <c r="H103" s="14">
        <f>MONTH(Dataset!$A103)</f>
        <v>3</v>
      </c>
      <c r="I103" s="15">
        <f>WEEKDAY(Dataset!$A103)</f>
        <v>6</v>
      </c>
      <c r="J103" s="16">
        <f>Dataset!$D103-Dataset!$C103</f>
        <v>-149</v>
      </c>
    </row>
    <row r="104" spans="1:10" x14ac:dyDescent="0.25">
      <c r="A104" s="9">
        <v>44263</v>
      </c>
      <c r="B104" s="10" t="s">
        <v>23</v>
      </c>
      <c r="C104" s="10">
        <v>52.1</v>
      </c>
      <c r="D104" s="10"/>
      <c r="E104" s="10" t="s">
        <v>24</v>
      </c>
      <c r="F104" s="10" t="s">
        <v>17</v>
      </c>
      <c r="G104" s="10" t="s">
        <v>14</v>
      </c>
      <c r="H104" s="10">
        <f>MONTH(Dataset!$A104)</f>
        <v>3</v>
      </c>
      <c r="I104" s="11">
        <f>WEEKDAY(Dataset!$A104)</f>
        <v>2</v>
      </c>
      <c r="J104" s="12">
        <f>Dataset!$D104-Dataset!$C104</f>
        <v>-52.1</v>
      </c>
    </row>
    <row r="105" spans="1:10" x14ac:dyDescent="0.25">
      <c r="A105" s="13">
        <v>44263</v>
      </c>
      <c r="B105" s="14" t="s">
        <v>11</v>
      </c>
      <c r="C105" s="14">
        <v>5</v>
      </c>
      <c r="D105" s="14"/>
      <c r="E105" s="14" t="s">
        <v>12</v>
      </c>
      <c r="F105" s="14" t="s">
        <v>13</v>
      </c>
      <c r="G105" s="14" t="s">
        <v>14</v>
      </c>
      <c r="H105" s="14">
        <f>MONTH(Dataset!$A105)</f>
        <v>3</v>
      </c>
      <c r="I105" s="15">
        <f>WEEKDAY(Dataset!$A105)</f>
        <v>2</v>
      </c>
      <c r="J105" s="16">
        <f>Dataset!$D105-Dataset!$C105</f>
        <v>-5</v>
      </c>
    </row>
    <row r="106" spans="1:10" x14ac:dyDescent="0.25">
      <c r="A106" s="9">
        <v>44264</v>
      </c>
      <c r="B106" s="10" t="s">
        <v>11</v>
      </c>
      <c r="C106" s="10">
        <v>5</v>
      </c>
      <c r="D106" s="10"/>
      <c r="E106" s="10" t="s">
        <v>12</v>
      </c>
      <c r="F106" s="10" t="s">
        <v>13</v>
      </c>
      <c r="G106" s="10" t="s">
        <v>14</v>
      </c>
      <c r="H106" s="10">
        <f>MONTH(Dataset!$A106)</f>
        <v>3</v>
      </c>
      <c r="I106" s="11">
        <f>WEEKDAY(Dataset!$A106)</f>
        <v>3</v>
      </c>
      <c r="J106" s="12">
        <f>Dataset!$D106-Dataset!$C106</f>
        <v>-5</v>
      </c>
    </row>
    <row r="107" spans="1:10" x14ac:dyDescent="0.25">
      <c r="A107" s="13">
        <v>44265</v>
      </c>
      <c r="B107" s="14" t="s">
        <v>25</v>
      </c>
      <c r="C107" s="14">
        <v>78.900000000000006</v>
      </c>
      <c r="D107" s="14"/>
      <c r="E107" s="14" t="s">
        <v>48</v>
      </c>
      <c r="F107" s="14" t="s">
        <v>20</v>
      </c>
      <c r="G107" s="14" t="s">
        <v>14</v>
      </c>
      <c r="H107" s="14">
        <f>MONTH(Dataset!$A107)</f>
        <v>3</v>
      </c>
      <c r="I107" s="15">
        <f>WEEKDAY(Dataset!$A107)</f>
        <v>4</v>
      </c>
      <c r="J107" s="16">
        <f>Dataset!$D107-Dataset!$C107</f>
        <v>-78.900000000000006</v>
      </c>
    </row>
    <row r="108" spans="1:10" x14ac:dyDescent="0.25">
      <c r="A108" s="9">
        <v>44265</v>
      </c>
      <c r="B108" s="10" t="s">
        <v>11</v>
      </c>
      <c r="C108" s="10">
        <v>5</v>
      </c>
      <c r="D108" s="10"/>
      <c r="E108" s="10" t="s">
        <v>12</v>
      </c>
      <c r="F108" s="10" t="s">
        <v>13</v>
      </c>
      <c r="G108" s="10" t="s">
        <v>14</v>
      </c>
      <c r="H108" s="10">
        <f>MONTH(Dataset!$A108)</f>
        <v>3</v>
      </c>
      <c r="I108" s="11">
        <f>WEEKDAY(Dataset!$A108)</f>
        <v>4</v>
      </c>
      <c r="J108" s="12">
        <f>Dataset!$D108-Dataset!$C108</f>
        <v>-5</v>
      </c>
    </row>
    <row r="109" spans="1:10" x14ac:dyDescent="0.25">
      <c r="A109" s="13">
        <v>44266</v>
      </c>
      <c r="B109" s="14" t="s">
        <v>11</v>
      </c>
      <c r="C109" s="14">
        <v>5</v>
      </c>
      <c r="D109" s="14"/>
      <c r="E109" s="14" t="s">
        <v>12</v>
      </c>
      <c r="F109" s="14" t="s">
        <v>13</v>
      </c>
      <c r="G109" s="14" t="s">
        <v>14</v>
      </c>
      <c r="H109" s="14">
        <f>MONTH(Dataset!$A109)</f>
        <v>3</v>
      </c>
      <c r="I109" s="15">
        <f>WEEKDAY(Dataset!$A109)</f>
        <v>5</v>
      </c>
      <c r="J109" s="16">
        <f>Dataset!$D109-Dataset!$C109</f>
        <v>-5</v>
      </c>
    </row>
    <row r="110" spans="1:10" x14ac:dyDescent="0.25">
      <c r="A110" s="9">
        <v>44267</v>
      </c>
      <c r="B110" s="10" t="s">
        <v>21</v>
      </c>
      <c r="C110" s="10">
        <v>137</v>
      </c>
      <c r="D110" s="10"/>
      <c r="E110" s="10" t="s">
        <v>22</v>
      </c>
      <c r="F110" s="10" t="s">
        <v>17</v>
      </c>
      <c r="G110" s="10" t="s">
        <v>14</v>
      </c>
      <c r="H110" s="10">
        <f>MONTH(Dataset!$A110)</f>
        <v>3</v>
      </c>
      <c r="I110" s="11">
        <f>WEEKDAY(Dataset!$A110)</f>
        <v>6</v>
      </c>
      <c r="J110" s="12">
        <f>Dataset!$D110-Dataset!$C110</f>
        <v>-137</v>
      </c>
    </row>
    <row r="111" spans="1:10" x14ac:dyDescent="0.25">
      <c r="A111" s="13">
        <v>44267</v>
      </c>
      <c r="B111" s="14" t="s">
        <v>11</v>
      </c>
      <c r="C111" s="14">
        <v>5</v>
      </c>
      <c r="D111" s="14"/>
      <c r="E111" s="14" t="s">
        <v>12</v>
      </c>
      <c r="F111" s="14" t="s">
        <v>13</v>
      </c>
      <c r="G111" s="14" t="s">
        <v>14</v>
      </c>
      <c r="H111" s="14">
        <f>MONTH(Dataset!$A111)</f>
        <v>3</v>
      </c>
      <c r="I111" s="15">
        <f>WEEKDAY(Dataset!$A111)</f>
        <v>6</v>
      </c>
      <c r="J111" s="16">
        <f>Dataset!$D111-Dataset!$C111</f>
        <v>-5</v>
      </c>
    </row>
    <row r="112" spans="1:10" x14ac:dyDescent="0.25">
      <c r="A112" s="9">
        <v>44268</v>
      </c>
      <c r="B112" s="10" t="s">
        <v>11</v>
      </c>
      <c r="C112" s="10">
        <v>5</v>
      </c>
      <c r="D112" s="10"/>
      <c r="E112" s="10" t="s">
        <v>12</v>
      </c>
      <c r="F112" s="10" t="s">
        <v>13</v>
      </c>
      <c r="G112" s="10" t="s">
        <v>14</v>
      </c>
      <c r="H112" s="10">
        <f>MONTH(Dataset!$A112)</f>
        <v>3</v>
      </c>
      <c r="I112" s="11">
        <f>WEEKDAY(Dataset!$A112)</f>
        <v>7</v>
      </c>
      <c r="J112" s="12">
        <f>Dataset!$D112-Dataset!$C112</f>
        <v>-5</v>
      </c>
    </row>
    <row r="113" spans="1:10" x14ac:dyDescent="0.25">
      <c r="A113" s="13">
        <v>44268</v>
      </c>
      <c r="B113" s="14" t="s">
        <v>26</v>
      </c>
      <c r="C113" s="14">
        <v>41.8</v>
      </c>
      <c r="D113" s="14"/>
      <c r="E113" s="14" t="s">
        <v>27</v>
      </c>
      <c r="F113" s="14" t="s">
        <v>28</v>
      </c>
      <c r="G113" s="14" t="s">
        <v>14</v>
      </c>
      <c r="H113" s="14">
        <f>MONTH(Dataset!$A113)</f>
        <v>3</v>
      </c>
      <c r="I113" s="15">
        <f>WEEKDAY(Dataset!$A113)</f>
        <v>7</v>
      </c>
      <c r="J113" s="16">
        <f>Dataset!$D113-Dataset!$C113</f>
        <v>-41.8</v>
      </c>
    </row>
    <row r="114" spans="1:10" x14ac:dyDescent="0.25">
      <c r="A114" s="9">
        <v>44268</v>
      </c>
      <c r="B114" s="10" t="s">
        <v>29</v>
      </c>
      <c r="C114" s="10">
        <v>99.9</v>
      </c>
      <c r="D114" s="10"/>
      <c r="E114" s="10" t="s">
        <v>30</v>
      </c>
      <c r="F114" s="10" t="s">
        <v>28</v>
      </c>
      <c r="G114" s="10" t="s">
        <v>14</v>
      </c>
      <c r="H114" s="10">
        <f>MONTH(Dataset!$A114)</f>
        <v>3</v>
      </c>
      <c r="I114" s="11">
        <f>WEEKDAY(Dataset!$A114)</f>
        <v>7</v>
      </c>
      <c r="J114" s="12">
        <f>Dataset!$D114-Dataset!$C114</f>
        <v>-99.9</v>
      </c>
    </row>
    <row r="115" spans="1:10" x14ac:dyDescent="0.25">
      <c r="A115" s="13">
        <v>44268</v>
      </c>
      <c r="B115" s="14" t="s">
        <v>31</v>
      </c>
      <c r="C115" s="14">
        <v>54</v>
      </c>
      <c r="D115" s="14"/>
      <c r="E115" s="14" t="s">
        <v>32</v>
      </c>
      <c r="F115" s="14" t="s">
        <v>13</v>
      </c>
      <c r="G115" s="14" t="s">
        <v>14</v>
      </c>
      <c r="H115" s="14">
        <f>MONTH(Dataset!$A115)</f>
        <v>3</v>
      </c>
      <c r="I115" s="15">
        <f>WEEKDAY(Dataset!$A115)</f>
        <v>7</v>
      </c>
      <c r="J115" s="16">
        <f>Dataset!$D115-Dataset!$C115</f>
        <v>-54</v>
      </c>
    </row>
    <row r="116" spans="1:10" x14ac:dyDescent="0.25">
      <c r="A116" s="9">
        <v>44269</v>
      </c>
      <c r="B116" s="10" t="s">
        <v>33</v>
      </c>
      <c r="C116" s="10">
        <v>30</v>
      </c>
      <c r="D116" s="10"/>
      <c r="E116" s="10" t="s">
        <v>34</v>
      </c>
      <c r="F116" s="10" t="s">
        <v>20</v>
      </c>
      <c r="G116" s="10" t="s">
        <v>14</v>
      </c>
      <c r="H116" s="10">
        <f>MONTH(Dataset!$A116)</f>
        <v>3</v>
      </c>
      <c r="I116" s="11">
        <f>WEEKDAY(Dataset!$A116)</f>
        <v>1</v>
      </c>
      <c r="J116" s="12">
        <f>Dataset!$D116-Dataset!$C116</f>
        <v>-30</v>
      </c>
    </row>
    <row r="117" spans="1:10" x14ac:dyDescent="0.25">
      <c r="A117" s="13">
        <v>44270</v>
      </c>
      <c r="B117" s="14" t="s">
        <v>35</v>
      </c>
      <c r="C117" s="14"/>
      <c r="D117" s="14">
        <v>1000</v>
      </c>
      <c r="E117" s="14" t="s">
        <v>36</v>
      </c>
      <c r="F117" s="14" t="s">
        <v>37</v>
      </c>
      <c r="G117" s="14" t="s">
        <v>10</v>
      </c>
      <c r="H117" s="14">
        <f>MONTH(Dataset!$A117)</f>
        <v>3</v>
      </c>
      <c r="I117" s="15">
        <f>WEEKDAY(Dataset!$A117)</f>
        <v>2</v>
      </c>
      <c r="J117" s="16">
        <f>Dataset!$D117-Dataset!$C117</f>
        <v>1000</v>
      </c>
    </row>
    <row r="118" spans="1:10" x14ac:dyDescent="0.25">
      <c r="A118" s="9">
        <v>44270</v>
      </c>
      <c r="B118" s="10" t="s">
        <v>11</v>
      </c>
      <c r="C118" s="10">
        <v>5</v>
      </c>
      <c r="D118" s="10"/>
      <c r="E118" s="10" t="s">
        <v>12</v>
      </c>
      <c r="F118" s="10" t="s">
        <v>13</v>
      </c>
      <c r="G118" s="10" t="s">
        <v>14</v>
      </c>
      <c r="H118" s="10">
        <f>MONTH(Dataset!$A118)</f>
        <v>3</v>
      </c>
      <c r="I118" s="11">
        <f>WEEKDAY(Dataset!$A118)</f>
        <v>2</v>
      </c>
      <c r="J118" s="12">
        <f>Dataset!$D118-Dataset!$C118</f>
        <v>-5</v>
      </c>
    </row>
    <row r="119" spans="1:10" x14ac:dyDescent="0.25">
      <c r="A119" s="13">
        <v>44271</v>
      </c>
      <c r="B119" s="14" t="s">
        <v>11</v>
      </c>
      <c r="C119" s="14">
        <v>5</v>
      </c>
      <c r="D119" s="14"/>
      <c r="E119" s="14" t="s">
        <v>12</v>
      </c>
      <c r="F119" s="14" t="s">
        <v>13</v>
      </c>
      <c r="G119" s="14" t="s">
        <v>14</v>
      </c>
      <c r="H119" s="14">
        <f>MONTH(Dataset!$A119)</f>
        <v>3</v>
      </c>
      <c r="I119" s="15">
        <f>WEEKDAY(Dataset!$A119)</f>
        <v>3</v>
      </c>
      <c r="J119" s="16">
        <f>Dataset!$D119-Dataset!$C119</f>
        <v>-5</v>
      </c>
    </row>
    <row r="120" spans="1:10" x14ac:dyDescent="0.25">
      <c r="A120" s="9">
        <v>44271</v>
      </c>
      <c r="B120" s="10" t="s">
        <v>52</v>
      </c>
      <c r="C120" s="10">
        <v>75</v>
      </c>
      <c r="D120" s="10"/>
      <c r="E120" s="10" t="s">
        <v>53</v>
      </c>
      <c r="F120" s="10" t="s">
        <v>54</v>
      </c>
      <c r="G120" s="10" t="s">
        <v>14</v>
      </c>
      <c r="H120" s="10">
        <f>MONTH(Dataset!$A120)</f>
        <v>3</v>
      </c>
      <c r="I120" s="11">
        <f>WEEKDAY(Dataset!$A120)</f>
        <v>3</v>
      </c>
      <c r="J120" s="12">
        <f>Dataset!$D120-Dataset!$C120</f>
        <v>-75</v>
      </c>
    </row>
    <row r="121" spans="1:10" x14ac:dyDescent="0.25">
      <c r="A121" s="13">
        <v>44271</v>
      </c>
      <c r="B121" s="14" t="s">
        <v>39</v>
      </c>
      <c r="C121" s="14">
        <v>40</v>
      </c>
      <c r="D121" s="14"/>
      <c r="E121" s="14" t="s">
        <v>39</v>
      </c>
      <c r="F121" s="14" t="s">
        <v>17</v>
      </c>
      <c r="G121" s="14" t="s">
        <v>14</v>
      </c>
      <c r="H121" s="14">
        <f>MONTH(Dataset!$A121)</f>
        <v>3</v>
      </c>
      <c r="I121" s="15">
        <f>WEEKDAY(Dataset!$A121)</f>
        <v>3</v>
      </c>
      <c r="J121" s="16">
        <f>Dataset!$D121-Dataset!$C121</f>
        <v>-40</v>
      </c>
    </row>
    <row r="122" spans="1:10" x14ac:dyDescent="0.25">
      <c r="A122" s="9">
        <v>44272</v>
      </c>
      <c r="B122" s="10" t="s">
        <v>40</v>
      </c>
      <c r="C122" s="10">
        <v>46.8</v>
      </c>
      <c r="D122" s="10"/>
      <c r="E122" s="10" t="s">
        <v>41</v>
      </c>
      <c r="F122" s="10" t="s">
        <v>28</v>
      </c>
      <c r="G122" s="10" t="s">
        <v>14</v>
      </c>
      <c r="H122" s="10">
        <f>MONTH(Dataset!$A122)</f>
        <v>3</v>
      </c>
      <c r="I122" s="11">
        <f>WEEKDAY(Dataset!$A122)</f>
        <v>4</v>
      </c>
      <c r="J122" s="12">
        <f>Dataset!$D122-Dataset!$C122</f>
        <v>-46.8</v>
      </c>
    </row>
    <row r="123" spans="1:10" x14ac:dyDescent="0.25">
      <c r="A123" s="13">
        <v>44272</v>
      </c>
      <c r="B123" s="14" t="s">
        <v>42</v>
      </c>
      <c r="C123" s="14">
        <v>35</v>
      </c>
      <c r="D123" s="14"/>
      <c r="E123" s="14" t="s">
        <v>27</v>
      </c>
      <c r="F123" s="14" t="s">
        <v>28</v>
      </c>
      <c r="G123" s="14" t="s">
        <v>14</v>
      </c>
      <c r="H123" s="14">
        <f>MONTH(Dataset!$A123)</f>
        <v>3</v>
      </c>
      <c r="I123" s="15">
        <f>WEEKDAY(Dataset!$A123)</f>
        <v>4</v>
      </c>
      <c r="J123" s="16">
        <f>Dataset!$D123-Dataset!$C123</f>
        <v>-35</v>
      </c>
    </row>
    <row r="124" spans="1:10" x14ac:dyDescent="0.25">
      <c r="A124" s="9">
        <v>44272</v>
      </c>
      <c r="B124" s="10" t="s">
        <v>11</v>
      </c>
      <c r="C124" s="10">
        <v>5</v>
      </c>
      <c r="D124" s="10"/>
      <c r="E124" s="10" t="s">
        <v>12</v>
      </c>
      <c r="F124" s="10" t="s">
        <v>13</v>
      </c>
      <c r="G124" s="10" t="s">
        <v>14</v>
      </c>
      <c r="H124" s="10">
        <f>MONTH(Dataset!$A124)</f>
        <v>3</v>
      </c>
      <c r="I124" s="11">
        <f>WEEKDAY(Dataset!$A124)</f>
        <v>4</v>
      </c>
      <c r="J124" s="12">
        <f>Dataset!$D124-Dataset!$C124</f>
        <v>-5</v>
      </c>
    </row>
    <row r="125" spans="1:10" x14ac:dyDescent="0.25">
      <c r="A125" s="13">
        <v>44273</v>
      </c>
      <c r="B125" s="14" t="s">
        <v>11</v>
      </c>
      <c r="C125" s="14">
        <v>5</v>
      </c>
      <c r="D125" s="14"/>
      <c r="E125" s="14" t="s">
        <v>12</v>
      </c>
      <c r="F125" s="14" t="s">
        <v>13</v>
      </c>
      <c r="G125" s="14" t="s">
        <v>14</v>
      </c>
      <c r="H125" s="14">
        <f>MONTH(Dataset!$A125)</f>
        <v>3</v>
      </c>
      <c r="I125" s="15">
        <f>WEEKDAY(Dataset!$A125)</f>
        <v>5</v>
      </c>
      <c r="J125" s="16">
        <f>Dataset!$D125-Dataset!$C125</f>
        <v>-5</v>
      </c>
    </row>
    <row r="126" spans="1:10" x14ac:dyDescent="0.25">
      <c r="A126" s="9">
        <v>44274</v>
      </c>
      <c r="B126" s="10" t="s">
        <v>11</v>
      </c>
      <c r="C126" s="10">
        <v>5</v>
      </c>
      <c r="D126" s="10"/>
      <c r="E126" s="10" t="s">
        <v>12</v>
      </c>
      <c r="F126" s="10" t="s">
        <v>13</v>
      </c>
      <c r="G126" s="10" t="s">
        <v>14</v>
      </c>
      <c r="H126" s="10">
        <f>MONTH(Dataset!$A126)</f>
        <v>3</v>
      </c>
      <c r="I126" s="11">
        <f>WEEKDAY(Dataset!$A126)</f>
        <v>6</v>
      </c>
      <c r="J126" s="12">
        <f>Dataset!$D126-Dataset!$C126</f>
        <v>-5</v>
      </c>
    </row>
    <row r="127" spans="1:10" x14ac:dyDescent="0.25">
      <c r="A127" s="13">
        <v>44274</v>
      </c>
      <c r="B127" s="14" t="s">
        <v>21</v>
      </c>
      <c r="C127" s="14">
        <v>171.9</v>
      </c>
      <c r="D127" s="14"/>
      <c r="E127" s="14" t="s">
        <v>22</v>
      </c>
      <c r="F127" s="14" t="s">
        <v>17</v>
      </c>
      <c r="G127" s="14" t="s">
        <v>14</v>
      </c>
      <c r="H127" s="14">
        <f>MONTH(Dataset!$A127)</f>
        <v>3</v>
      </c>
      <c r="I127" s="15">
        <f>WEEKDAY(Dataset!$A127)</f>
        <v>6</v>
      </c>
      <c r="J127" s="16">
        <f>Dataset!$D127-Dataset!$C127</f>
        <v>-171.9</v>
      </c>
    </row>
    <row r="128" spans="1:10" x14ac:dyDescent="0.25">
      <c r="A128" s="9">
        <v>44275</v>
      </c>
      <c r="B128" s="10" t="s">
        <v>43</v>
      </c>
      <c r="C128" s="10">
        <v>39</v>
      </c>
      <c r="D128" s="10"/>
      <c r="E128" s="10" t="s">
        <v>32</v>
      </c>
      <c r="F128" s="10" t="s">
        <v>13</v>
      </c>
      <c r="G128" s="10" t="s">
        <v>14</v>
      </c>
      <c r="H128" s="10">
        <f>MONTH(Dataset!$A128)</f>
        <v>3</v>
      </c>
      <c r="I128" s="11">
        <f>WEEKDAY(Dataset!$A128)</f>
        <v>7</v>
      </c>
      <c r="J128" s="12">
        <f>Dataset!$D128-Dataset!$C128</f>
        <v>-39</v>
      </c>
    </row>
    <row r="129" spans="1:10" x14ac:dyDescent="0.25">
      <c r="A129" s="13">
        <v>44276</v>
      </c>
      <c r="B129" s="14" t="s">
        <v>44</v>
      </c>
      <c r="C129" s="14">
        <v>14</v>
      </c>
      <c r="D129" s="14"/>
      <c r="E129" s="14" t="s">
        <v>32</v>
      </c>
      <c r="F129" s="14" t="s">
        <v>13</v>
      </c>
      <c r="G129" s="14" t="s">
        <v>14</v>
      </c>
      <c r="H129" s="14">
        <f>MONTH(Dataset!$A129)</f>
        <v>3</v>
      </c>
      <c r="I129" s="15">
        <f>WEEKDAY(Dataset!$A129)</f>
        <v>1</v>
      </c>
      <c r="J129" s="16">
        <f>Dataset!$D129-Dataset!$C129</f>
        <v>-14</v>
      </c>
    </row>
    <row r="130" spans="1:10" x14ac:dyDescent="0.25">
      <c r="A130" s="9">
        <v>44277</v>
      </c>
      <c r="B130" s="10" t="s">
        <v>45</v>
      </c>
      <c r="C130" s="10">
        <v>55</v>
      </c>
      <c r="D130" s="10"/>
      <c r="E130" s="10" t="s">
        <v>46</v>
      </c>
      <c r="F130" s="10" t="s">
        <v>47</v>
      </c>
      <c r="G130" s="10" t="s">
        <v>14</v>
      </c>
      <c r="H130" s="10">
        <f>MONTH(Dataset!$A130)</f>
        <v>3</v>
      </c>
      <c r="I130" s="11">
        <f>WEEKDAY(Dataset!$A130)</f>
        <v>2</v>
      </c>
      <c r="J130" s="12">
        <f>Dataset!$D130-Dataset!$C130</f>
        <v>-55</v>
      </c>
    </row>
    <row r="131" spans="1:10" x14ac:dyDescent="0.25">
      <c r="A131" s="13">
        <v>44277</v>
      </c>
      <c r="B131" s="14" t="s">
        <v>25</v>
      </c>
      <c r="C131" s="14">
        <v>65</v>
      </c>
      <c r="D131" s="14"/>
      <c r="E131" s="14" t="s">
        <v>48</v>
      </c>
      <c r="F131" s="14" t="s">
        <v>20</v>
      </c>
      <c r="G131" s="14" t="s">
        <v>14</v>
      </c>
      <c r="H131" s="14">
        <f>MONTH(Dataset!$A131)</f>
        <v>3</v>
      </c>
      <c r="I131" s="15">
        <f>WEEKDAY(Dataset!$A131)</f>
        <v>2</v>
      </c>
      <c r="J131" s="16">
        <f>Dataset!$D131-Dataset!$C131</f>
        <v>-65</v>
      </c>
    </row>
    <row r="132" spans="1:10" x14ac:dyDescent="0.25">
      <c r="A132" s="9">
        <v>44277</v>
      </c>
      <c r="B132" s="10" t="s">
        <v>11</v>
      </c>
      <c r="C132" s="10">
        <v>5</v>
      </c>
      <c r="D132" s="10"/>
      <c r="E132" s="10" t="s">
        <v>12</v>
      </c>
      <c r="F132" s="10" t="s">
        <v>13</v>
      </c>
      <c r="G132" s="10" t="s">
        <v>14</v>
      </c>
      <c r="H132" s="10">
        <f>MONTH(Dataset!$A132)</f>
        <v>3</v>
      </c>
      <c r="I132" s="11">
        <f>WEEKDAY(Dataset!$A132)</f>
        <v>2</v>
      </c>
      <c r="J132" s="12">
        <f>Dataset!$D132-Dataset!$C132</f>
        <v>-5</v>
      </c>
    </row>
    <row r="133" spans="1:10" x14ac:dyDescent="0.25">
      <c r="A133" s="13">
        <v>44278</v>
      </c>
      <c r="B133" s="14" t="s">
        <v>11</v>
      </c>
      <c r="C133" s="14">
        <v>5</v>
      </c>
      <c r="D133" s="14"/>
      <c r="E133" s="14" t="s">
        <v>12</v>
      </c>
      <c r="F133" s="14" t="s">
        <v>13</v>
      </c>
      <c r="G133" s="14" t="s">
        <v>14</v>
      </c>
      <c r="H133" s="14">
        <f>MONTH(Dataset!$A133)</f>
        <v>3</v>
      </c>
      <c r="I133" s="15">
        <f>WEEKDAY(Dataset!$A133)</f>
        <v>3</v>
      </c>
      <c r="J133" s="16">
        <f>Dataset!$D133-Dataset!$C133</f>
        <v>-5</v>
      </c>
    </row>
    <row r="134" spans="1:10" x14ac:dyDescent="0.25">
      <c r="A134" s="9">
        <v>44279</v>
      </c>
      <c r="B134" s="10" t="s">
        <v>11</v>
      </c>
      <c r="C134" s="10">
        <v>5</v>
      </c>
      <c r="D134" s="10"/>
      <c r="E134" s="10" t="s">
        <v>12</v>
      </c>
      <c r="F134" s="10" t="s">
        <v>13</v>
      </c>
      <c r="G134" s="10" t="s">
        <v>14</v>
      </c>
      <c r="H134" s="10">
        <f>MONTH(Dataset!$A134)</f>
        <v>3</v>
      </c>
      <c r="I134" s="11">
        <f>WEEKDAY(Dataset!$A134)</f>
        <v>4</v>
      </c>
      <c r="J134" s="12">
        <f>Dataset!$D134-Dataset!$C134</f>
        <v>-5</v>
      </c>
    </row>
    <row r="135" spans="1:10" x14ac:dyDescent="0.25">
      <c r="A135" s="13">
        <v>44280</v>
      </c>
      <c r="B135" s="14" t="s">
        <v>11</v>
      </c>
      <c r="C135" s="14">
        <v>5</v>
      </c>
      <c r="D135" s="14"/>
      <c r="E135" s="14" t="s">
        <v>12</v>
      </c>
      <c r="F135" s="14" t="s">
        <v>13</v>
      </c>
      <c r="G135" s="14" t="s">
        <v>14</v>
      </c>
      <c r="H135" s="14">
        <f>MONTH(Dataset!$A135)</f>
        <v>3</v>
      </c>
      <c r="I135" s="15">
        <f>WEEKDAY(Dataset!$A135)</f>
        <v>5</v>
      </c>
      <c r="J135" s="16">
        <f>Dataset!$D135-Dataset!$C135</f>
        <v>-5</v>
      </c>
    </row>
    <row r="136" spans="1:10" x14ac:dyDescent="0.25">
      <c r="A136" s="9">
        <v>44281</v>
      </c>
      <c r="B136" s="10" t="s">
        <v>11</v>
      </c>
      <c r="C136" s="10">
        <v>5</v>
      </c>
      <c r="D136" s="10"/>
      <c r="E136" s="10" t="s">
        <v>12</v>
      </c>
      <c r="F136" s="10" t="s">
        <v>13</v>
      </c>
      <c r="G136" s="10" t="s">
        <v>14</v>
      </c>
      <c r="H136" s="10">
        <f>MONTH(Dataset!$A136)</f>
        <v>3</v>
      </c>
      <c r="I136" s="11">
        <f>WEEKDAY(Dataset!$A136)</f>
        <v>6</v>
      </c>
      <c r="J136" s="12">
        <f>Dataset!$D136-Dataset!$C136</f>
        <v>-5</v>
      </c>
    </row>
    <row r="137" spans="1:10" x14ac:dyDescent="0.25">
      <c r="A137" s="13">
        <v>44281</v>
      </c>
      <c r="B137" s="14" t="s">
        <v>21</v>
      </c>
      <c r="C137" s="14">
        <v>209</v>
      </c>
      <c r="D137" s="14"/>
      <c r="E137" s="14" t="s">
        <v>22</v>
      </c>
      <c r="F137" s="14" t="s">
        <v>17</v>
      </c>
      <c r="G137" s="14" t="s">
        <v>14</v>
      </c>
      <c r="H137" s="14">
        <f>MONTH(Dataset!$A137)</f>
        <v>3</v>
      </c>
      <c r="I137" s="15">
        <f>WEEKDAY(Dataset!$A137)</f>
        <v>6</v>
      </c>
      <c r="J137" s="16">
        <f>Dataset!$D137-Dataset!$C137</f>
        <v>-209</v>
      </c>
    </row>
    <row r="138" spans="1:10" x14ac:dyDescent="0.25">
      <c r="A138" s="9">
        <v>44282</v>
      </c>
      <c r="B138" s="10" t="s">
        <v>49</v>
      </c>
      <c r="C138" s="10">
        <v>127</v>
      </c>
      <c r="D138" s="10"/>
      <c r="E138" s="10" t="s">
        <v>30</v>
      </c>
      <c r="F138" s="10" t="s">
        <v>28</v>
      </c>
      <c r="G138" s="10" t="s">
        <v>14</v>
      </c>
      <c r="H138" s="10">
        <f>MONTH(Dataset!$A138)</f>
        <v>3</v>
      </c>
      <c r="I138" s="11">
        <f>WEEKDAY(Dataset!$A138)</f>
        <v>7</v>
      </c>
      <c r="J138" s="12">
        <f>Dataset!$D138-Dataset!$C138</f>
        <v>-127</v>
      </c>
    </row>
    <row r="139" spans="1:10" x14ac:dyDescent="0.25">
      <c r="A139" s="13">
        <v>44282</v>
      </c>
      <c r="B139" s="14" t="s">
        <v>55</v>
      </c>
      <c r="C139" s="14">
        <v>177.2</v>
      </c>
      <c r="D139" s="14"/>
      <c r="E139" s="14" t="s">
        <v>30</v>
      </c>
      <c r="F139" s="14" t="s">
        <v>28</v>
      </c>
      <c r="G139" s="14" t="s">
        <v>14</v>
      </c>
      <c r="H139" s="14">
        <f>MONTH(Dataset!$A139)</f>
        <v>3</v>
      </c>
      <c r="I139" s="15">
        <f>WEEKDAY(Dataset!$A139)</f>
        <v>7</v>
      </c>
      <c r="J139" s="16">
        <f>Dataset!$D139-Dataset!$C139</f>
        <v>-177.2</v>
      </c>
    </row>
    <row r="140" spans="1:10" x14ac:dyDescent="0.25">
      <c r="A140" s="9">
        <v>44283</v>
      </c>
      <c r="B140" s="10" t="s">
        <v>29</v>
      </c>
      <c r="C140" s="10">
        <v>147.1</v>
      </c>
      <c r="D140" s="10"/>
      <c r="E140" s="10" t="s">
        <v>30</v>
      </c>
      <c r="F140" s="10" t="s">
        <v>28</v>
      </c>
      <c r="G140" s="10" t="s">
        <v>14</v>
      </c>
      <c r="H140" s="10">
        <f>MONTH(Dataset!$A140)</f>
        <v>3</v>
      </c>
      <c r="I140" s="11">
        <f>WEEKDAY(Dataset!$A140)</f>
        <v>1</v>
      </c>
      <c r="J140" s="12">
        <f>Dataset!$D140-Dataset!$C140</f>
        <v>-147.1</v>
      </c>
    </row>
    <row r="141" spans="1:10" x14ac:dyDescent="0.25">
      <c r="A141" s="13">
        <v>44283</v>
      </c>
      <c r="B141" s="14" t="s">
        <v>33</v>
      </c>
      <c r="C141" s="14">
        <v>25</v>
      </c>
      <c r="D141" s="14"/>
      <c r="E141" s="14" t="s">
        <v>34</v>
      </c>
      <c r="F141" s="14" t="s">
        <v>20</v>
      </c>
      <c r="G141" s="14" t="s">
        <v>14</v>
      </c>
      <c r="H141" s="14">
        <f>MONTH(Dataset!$A141)</f>
        <v>3</v>
      </c>
      <c r="I141" s="15">
        <f>WEEKDAY(Dataset!$A141)</f>
        <v>1</v>
      </c>
      <c r="J141" s="16">
        <f>Dataset!$D141-Dataset!$C141</f>
        <v>-25</v>
      </c>
    </row>
    <row r="142" spans="1:10" x14ac:dyDescent="0.25">
      <c r="A142" s="9">
        <v>44284</v>
      </c>
      <c r="B142" s="10" t="s">
        <v>56</v>
      </c>
      <c r="C142" s="10">
        <v>15</v>
      </c>
      <c r="D142" s="10"/>
      <c r="E142" s="10" t="s">
        <v>32</v>
      </c>
      <c r="F142" s="10" t="s">
        <v>13</v>
      </c>
      <c r="G142" s="10" t="s">
        <v>14</v>
      </c>
      <c r="H142" s="10">
        <f>MONTH(Dataset!$A142)</f>
        <v>3</v>
      </c>
      <c r="I142" s="11">
        <f>WEEKDAY(Dataset!$A142)</f>
        <v>2</v>
      </c>
      <c r="J142" s="12">
        <f>Dataset!$D142-Dataset!$C142</f>
        <v>-15</v>
      </c>
    </row>
    <row r="143" spans="1:10" x14ac:dyDescent="0.25">
      <c r="A143" s="13">
        <v>44285</v>
      </c>
      <c r="B143" s="14" t="s">
        <v>11</v>
      </c>
      <c r="C143" s="14">
        <v>5</v>
      </c>
      <c r="D143" s="14"/>
      <c r="E143" s="14" t="s">
        <v>12</v>
      </c>
      <c r="F143" s="14" t="s">
        <v>13</v>
      </c>
      <c r="G143" s="14" t="s">
        <v>14</v>
      </c>
      <c r="H143" s="14">
        <f>MONTH(Dataset!$A143)</f>
        <v>3</v>
      </c>
      <c r="I143" s="15">
        <f>WEEKDAY(Dataset!$A143)</f>
        <v>3</v>
      </c>
      <c r="J143" s="16">
        <f>Dataset!$D143-Dataset!$C143</f>
        <v>-5</v>
      </c>
    </row>
    <row r="144" spans="1:10" x14ac:dyDescent="0.25">
      <c r="A144" s="9">
        <v>44286</v>
      </c>
      <c r="B144" s="10" t="s">
        <v>11</v>
      </c>
      <c r="C144" s="10">
        <v>5</v>
      </c>
      <c r="D144" s="10"/>
      <c r="E144" s="10" t="s">
        <v>12</v>
      </c>
      <c r="F144" s="10" t="s">
        <v>13</v>
      </c>
      <c r="G144" s="10" t="s">
        <v>14</v>
      </c>
      <c r="H144" s="10">
        <f>MONTH(Dataset!$A144)</f>
        <v>3</v>
      </c>
      <c r="I144" s="11">
        <f>WEEKDAY(Dataset!$A144)</f>
        <v>4</v>
      </c>
      <c r="J144" s="12">
        <f>Dataset!$D144-Dataset!$C144</f>
        <v>-5</v>
      </c>
    </row>
    <row r="145" spans="1:10" x14ac:dyDescent="0.25">
      <c r="A145" s="13">
        <v>44287</v>
      </c>
      <c r="B145" s="14" t="s">
        <v>7</v>
      </c>
      <c r="C145" s="14"/>
      <c r="D145" s="14">
        <v>5000</v>
      </c>
      <c r="E145" s="14" t="s">
        <v>8</v>
      </c>
      <c r="F145" s="14" t="s">
        <v>9</v>
      </c>
      <c r="G145" s="14" t="s">
        <v>10</v>
      </c>
      <c r="H145" s="14">
        <f>MONTH(Dataset!$A145)</f>
        <v>4</v>
      </c>
      <c r="I145" s="15">
        <f>WEEKDAY(Dataset!$A145)</f>
        <v>5</v>
      </c>
      <c r="J145" s="16">
        <f>Dataset!$D145-Dataset!$C145</f>
        <v>5000</v>
      </c>
    </row>
    <row r="146" spans="1:10" x14ac:dyDescent="0.25">
      <c r="A146" s="9">
        <v>44287</v>
      </c>
      <c r="B146" s="10" t="s">
        <v>11</v>
      </c>
      <c r="C146" s="10">
        <v>5</v>
      </c>
      <c r="D146" s="10"/>
      <c r="E146" s="10" t="s">
        <v>12</v>
      </c>
      <c r="F146" s="10" t="s">
        <v>13</v>
      </c>
      <c r="G146" s="10" t="s">
        <v>14</v>
      </c>
      <c r="H146" s="10">
        <f>MONTH(Dataset!$A146)</f>
        <v>4</v>
      </c>
      <c r="I146" s="11">
        <f>WEEKDAY(Dataset!$A146)</f>
        <v>5</v>
      </c>
      <c r="J146" s="12">
        <f>Dataset!$D146-Dataset!$C146</f>
        <v>-5</v>
      </c>
    </row>
    <row r="147" spans="1:10" x14ac:dyDescent="0.25">
      <c r="A147" s="13">
        <v>44288</v>
      </c>
      <c r="B147" s="14" t="s">
        <v>15</v>
      </c>
      <c r="C147" s="14">
        <v>900</v>
      </c>
      <c r="D147" s="14"/>
      <c r="E147" s="14" t="s">
        <v>16</v>
      </c>
      <c r="F147" s="14" t="s">
        <v>17</v>
      </c>
      <c r="G147" s="14" t="s">
        <v>14</v>
      </c>
      <c r="H147" s="14">
        <f>MONTH(Dataset!$A147)</f>
        <v>4</v>
      </c>
      <c r="I147" s="15">
        <f>WEEKDAY(Dataset!$A147)</f>
        <v>6</v>
      </c>
      <c r="J147" s="16">
        <f>Dataset!$D147-Dataset!$C147</f>
        <v>-900</v>
      </c>
    </row>
    <row r="148" spans="1:10" x14ac:dyDescent="0.25">
      <c r="A148" s="9">
        <v>44288</v>
      </c>
      <c r="B148" s="10" t="s">
        <v>18</v>
      </c>
      <c r="C148" s="10">
        <v>150</v>
      </c>
      <c r="D148" s="10"/>
      <c r="E148" s="10" t="s">
        <v>19</v>
      </c>
      <c r="F148" s="10" t="s">
        <v>20</v>
      </c>
      <c r="G148" s="10" t="s">
        <v>14</v>
      </c>
      <c r="H148" s="10">
        <f>MONTH(Dataset!$A148)</f>
        <v>4</v>
      </c>
      <c r="I148" s="11">
        <f>WEEKDAY(Dataset!$A148)</f>
        <v>6</v>
      </c>
      <c r="J148" s="12">
        <f>Dataset!$D148-Dataset!$C148</f>
        <v>-150</v>
      </c>
    </row>
    <row r="149" spans="1:10" x14ac:dyDescent="0.25">
      <c r="A149" s="13">
        <v>44288</v>
      </c>
      <c r="B149" s="14" t="s">
        <v>11</v>
      </c>
      <c r="C149" s="14">
        <v>5</v>
      </c>
      <c r="D149" s="14"/>
      <c r="E149" s="14" t="s">
        <v>12</v>
      </c>
      <c r="F149" s="14" t="s">
        <v>13</v>
      </c>
      <c r="G149" s="14" t="s">
        <v>14</v>
      </c>
      <c r="H149" s="14">
        <f>MONTH(Dataset!$A149)</f>
        <v>4</v>
      </c>
      <c r="I149" s="15">
        <f>WEEKDAY(Dataset!$A149)</f>
        <v>6</v>
      </c>
      <c r="J149" s="16">
        <f>Dataset!$D149-Dataset!$C149</f>
        <v>-5</v>
      </c>
    </row>
    <row r="150" spans="1:10" x14ac:dyDescent="0.25">
      <c r="A150" s="9">
        <v>44289</v>
      </c>
      <c r="B150" s="10" t="s">
        <v>11</v>
      </c>
      <c r="C150" s="10">
        <v>5</v>
      </c>
      <c r="D150" s="10"/>
      <c r="E150" s="10" t="s">
        <v>12</v>
      </c>
      <c r="F150" s="10" t="s">
        <v>13</v>
      </c>
      <c r="G150" s="10" t="s">
        <v>14</v>
      </c>
      <c r="H150" s="10">
        <f>MONTH(Dataset!$A150)</f>
        <v>4</v>
      </c>
      <c r="I150" s="11">
        <f>WEEKDAY(Dataset!$A150)</f>
        <v>7</v>
      </c>
      <c r="J150" s="12">
        <f>Dataset!$D150-Dataset!$C150</f>
        <v>-5</v>
      </c>
    </row>
    <row r="151" spans="1:10" x14ac:dyDescent="0.25">
      <c r="A151" s="13">
        <v>44290</v>
      </c>
      <c r="B151" s="14" t="s">
        <v>11</v>
      </c>
      <c r="C151" s="14">
        <v>5</v>
      </c>
      <c r="D151" s="14"/>
      <c r="E151" s="14" t="s">
        <v>12</v>
      </c>
      <c r="F151" s="14" t="s">
        <v>13</v>
      </c>
      <c r="G151" s="14" t="s">
        <v>14</v>
      </c>
      <c r="H151" s="14">
        <f>MONTH(Dataset!$A151)</f>
        <v>4</v>
      </c>
      <c r="I151" s="15">
        <f>WEEKDAY(Dataset!$A151)</f>
        <v>1</v>
      </c>
      <c r="J151" s="16">
        <f>Dataset!$D151-Dataset!$C151</f>
        <v>-5</v>
      </c>
    </row>
    <row r="152" spans="1:10" x14ac:dyDescent="0.25">
      <c r="A152" s="9">
        <v>44291</v>
      </c>
      <c r="B152" s="10" t="s">
        <v>11</v>
      </c>
      <c r="C152" s="10">
        <v>5</v>
      </c>
      <c r="D152" s="10"/>
      <c r="E152" s="10" t="s">
        <v>12</v>
      </c>
      <c r="F152" s="10" t="s">
        <v>13</v>
      </c>
      <c r="G152" s="10" t="s">
        <v>14</v>
      </c>
      <c r="H152" s="10">
        <f>MONTH(Dataset!$A152)</f>
        <v>4</v>
      </c>
      <c r="I152" s="11">
        <f>WEEKDAY(Dataset!$A152)</f>
        <v>2</v>
      </c>
      <c r="J152" s="12">
        <f>Dataset!$D152-Dataset!$C152</f>
        <v>-5</v>
      </c>
    </row>
    <row r="153" spans="1:10" x14ac:dyDescent="0.25">
      <c r="A153" s="13">
        <v>44291</v>
      </c>
      <c r="B153" s="14" t="s">
        <v>21</v>
      </c>
      <c r="C153" s="14">
        <v>158.19999999999999</v>
      </c>
      <c r="D153" s="14"/>
      <c r="E153" s="14" t="s">
        <v>22</v>
      </c>
      <c r="F153" s="14" t="s">
        <v>17</v>
      </c>
      <c r="G153" s="14" t="s">
        <v>14</v>
      </c>
      <c r="H153" s="14">
        <f>MONTH(Dataset!$A153)</f>
        <v>4</v>
      </c>
      <c r="I153" s="15">
        <f>WEEKDAY(Dataset!$A153)</f>
        <v>2</v>
      </c>
      <c r="J153" s="16">
        <f>Dataset!$D153-Dataset!$C153</f>
        <v>-158.19999999999999</v>
      </c>
    </row>
    <row r="154" spans="1:10" x14ac:dyDescent="0.25">
      <c r="A154" s="9">
        <v>44294</v>
      </c>
      <c r="B154" s="10" t="s">
        <v>23</v>
      </c>
      <c r="C154" s="10">
        <v>53.2</v>
      </c>
      <c r="D154" s="10"/>
      <c r="E154" s="10" t="s">
        <v>24</v>
      </c>
      <c r="F154" s="10" t="s">
        <v>17</v>
      </c>
      <c r="G154" s="10" t="s">
        <v>14</v>
      </c>
      <c r="H154" s="10">
        <f>MONTH(Dataset!$A154)</f>
        <v>4</v>
      </c>
      <c r="I154" s="11">
        <f>WEEKDAY(Dataset!$A154)</f>
        <v>5</v>
      </c>
      <c r="J154" s="12">
        <f>Dataset!$D154-Dataset!$C154</f>
        <v>-53.2</v>
      </c>
    </row>
    <row r="155" spans="1:10" x14ac:dyDescent="0.25">
      <c r="A155" s="13">
        <v>44294</v>
      </c>
      <c r="B155" s="14" t="s">
        <v>11</v>
      </c>
      <c r="C155" s="14">
        <v>5</v>
      </c>
      <c r="D155" s="14"/>
      <c r="E155" s="14" t="s">
        <v>12</v>
      </c>
      <c r="F155" s="14" t="s">
        <v>13</v>
      </c>
      <c r="G155" s="14" t="s">
        <v>14</v>
      </c>
      <c r="H155" s="14">
        <f>MONTH(Dataset!$A155)</f>
        <v>4</v>
      </c>
      <c r="I155" s="15">
        <f>WEEKDAY(Dataset!$A155)</f>
        <v>5</v>
      </c>
      <c r="J155" s="16">
        <f>Dataset!$D155-Dataset!$C155</f>
        <v>-5</v>
      </c>
    </row>
    <row r="156" spans="1:10" x14ac:dyDescent="0.25">
      <c r="A156" s="9">
        <v>44295</v>
      </c>
      <c r="B156" s="10" t="s">
        <v>11</v>
      </c>
      <c r="C156" s="10">
        <v>5</v>
      </c>
      <c r="D156" s="10"/>
      <c r="E156" s="10" t="s">
        <v>12</v>
      </c>
      <c r="F156" s="10" t="s">
        <v>13</v>
      </c>
      <c r="G156" s="10" t="s">
        <v>14</v>
      </c>
      <c r="H156" s="10">
        <f>MONTH(Dataset!$A156)</f>
        <v>4</v>
      </c>
      <c r="I156" s="11">
        <f>WEEKDAY(Dataset!$A156)</f>
        <v>6</v>
      </c>
      <c r="J156" s="12">
        <f>Dataset!$D156-Dataset!$C156</f>
        <v>-5</v>
      </c>
    </row>
    <row r="157" spans="1:10" x14ac:dyDescent="0.25">
      <c r="A157" s="13">
        <v>44296</v>
      </c>
      <c r="B157" s="14" t="s">
        <v>25</v>
      </c>
      <c r="C157" s="14">
        <v>79.900000000000006</v>
      </c>
      <c r="D157" s="14"/>
      <c r="E157" s="14" t="s">
        <v>48</v>
      </c>
      <c r="F157" s="14" t="s">
        <v>20</v>
      </c>
      <c r="G157" s="14" t="s">
        <v>14</v>
      </c>
      <c r="H157" s="14">
        <f>MONTH(Dataset!$A157)</f>
        <v>4</v>
      </c>
      <c r="I157" s="15">
        <f>WEEKDAY(Dataset!$A157)</f>
        <v>7</v>
      </c>
      <c r="J157" s="16">
        <f>Dataset!$D157-Dataset!$C157</f>
        <v>-79.900000000000006</v>
      </c>
    </row>
    <row r="158" spans="1:10" x14ac:dyDescent="0.25">
      <c r="A158" s="9">
        <v>44296</v>
      </c>
      <c r="B158" s="10" t="s">
        <v>11</v>
      </c>
      <c r="C158" s="10">
        <v>5</v>
      </c>
      <c r="D158" s="10"/>
      <c r="E158" s="10" t="s">
        <v>12</v>
      </c>
      <c r="F158" s="10" t="s">
        <v>13</v>
      </c>
      <c r="G158" s="10" t="s">
        <v>14</v>
      </c>
      <c r="H158" s="10">
        <f>MONTH(Dataset!$A158)</f>
        <v>4</v>
      </c>
      <c r="I158" s="11">
        <f>WEEKDAY(Dataset!$A158)</f>
        <v>7</v>
      </c>
      <c r="J158" s="12">
        <f>Dataset!$D158-Dataset!$C158</f>
        <v>-5</v>
      </c>
    </row>
    <row r="159" spans="1:10" x14ac:dyDescent="0.25">
      <c r="A159" s="13">
        <v>44297</v>
      </c>
      <c r="B159" s="14" t="s">
        <v>11</v>
      </c>
      <c r="C159" s="14">
        <v>5</v>
      </c>
      <c r="D159" s="14"/>
      <c r="E159" s="14" t="s">
        <v>12</v>
      </c>
      <c r="F159" s="14" t="s">
        <v>13</v>
      </c>
      <c r="G159" s="14" t="s">
        <v>14</v>
      </c>
      <c r="H159" s="14">
        <f>MONTH(Dataset!$A159)</f>
        <v>4</v>
      </c>
      <c r="I159" s="15">
        <f>WEEKDAY(Dataset!$A159)</f>
        <v>1</v>
      </c>
      <c r="J159" s="16">
        <f>Dataset!$D159-Dataset!$C159</f>
        <v>-5</v>
      </c>
    </row>
    <row r="160" spans="1:10" x14ac:dyDescent="0.25">
      <c r="A160" s="9">
        <v>44298</v>
      </c>
      <c r="B160" s="10" t="s">
        <v>21</v>
      </c>
      <c r="C160" s="10">
        <v>98</v>
      </c>
      <c r="D160" s="10"/>
      <c r="E160" s="10" t="s">
        <v>22</v>
      </c>
      <c r="F160" s="10" t="s">
        <v>17</v>
      </c>
      <c r="G160" s="10" t="s">
        <v>14</v>
      </c>
      <c r="H160" s="10">
        <f>MONTH(Dataset!$A160)</f>
        <v>4</v>
      </c>
      <c r="I160" s="11">
        <f>WEEKDAY(Dataset!$A160)</f>
        <v>2</v>
      </c>
      <c r="J160" s="12">
        <f>Dataset!$D160-Dataset!$C160</f>
        <v>-98</v>
      </c>
    </row>
    <row r="161" spans="1:10" x14ac:dyDescent="0.25">
      <c r="A161" s="13">
        <v>44298</v>
      </c>
      <c r="B161" s="14" t="s">
        <v>11</v>
      </c>
      <c r="C161" s="14">
        <v>5</v>
      </c>
      <c r="D161" s="14"/>
      <c r="E161" s="14" t="s">
        <v>12</v>
      </c>
      <c r="F161" s="14" t="s">
        <v>13</v>
      </c>
      <c r="G161" s="14" t="s">
        <v>14</v>
      </c>
      <c r="H161" s="14">
        <f>MONTH(Dataset!$A161)</f>
        <v>4</v>
      </c>
      <c r="I161" s="15">
        <f>WEEKDAY(Dataset!$A161)</f>
        <v>2</v>
      </c>
      <c r="J161" s="16">
        <f>Dataset!$D161-Dataset!$C161</f>
        <v>-5</v>
      </c>
    </row>
    <row r="162" spans="1:10" x14ac:dyDescent="0.25">
      <c r="A162" s="9">
        <v>44299</v>
      </c>
      <c r="B162" s="10" t="s">
        <v>11</v>
      </c>
      <c r="C162" s="10">
        <v>5</v>
      </c>
      <c r="D162" s="10"/>
      <c r="E162" s="10" t="s">
        <v>12</v>
      </c>
      <c r="F162" s="10" t="s">
        <v>13</v>
      </c>
      <c r="G162" s="10" t="s">
        <v>14</v>
      </c>
      <c r="H162" s="10">
        <f>MONTH(Dataset!$A162)</f>
        <v>4</v>
      </c>
      <c r="I162" s="11">
        <f>WEEKDAY(Dataset!$A162)</f>
        <v>3</v>
      </c>
      <c r="J162" s="12">
        <f>Dataset!$D162-Dataset!$C162</f>
        <v>-5</v>
      </c>
    </row>
    <row r="163" spans="1:10" x14ac:dyDescent="0.25">
      <c r="A163" s="13">
        <v>44299</v>
      </c>
      <c r="B163" s="14" t="s">
        <v>26</v>
      </c>
      <c r="C163" s="14">
        <v>42.8</v>
      </c>
      <c r="D163" s="14"/>
      <c r="E163" s="14" t="s">
        <v>27</v>
      </c>
      <c r="F163" s="14" t="s">
        <v>28</v>
      </c>
      <c r="G163" s="14" t="s">
        <v>14</v>
      </c>
      <c r="H163" s="14">
        <f>MONTH(Dataset!$A163)</f>
        <v>4</v>
      </c>
      <c r="I163" s="15">
        <f>WEEKDAY(Dataset!$A163)</f>
        <v>3</v>
      </c>
      <c r="J163" s="16">
        <f>Dataset!$D163-Dataset!$C163</f>
        <v>-42.8</v>
      </c>
    </row>
    <row r="164" spans="1:10" x14ac:dyDescent="0.25">
      <c r="A164" s="9">
        <v>44299</v>
      </c>
      <c r="B164" s="10" t="s">
        <v>29</v>
      </c>
      <c r="C164" s="10">
        <v>100.9</v>
      </c>
      <c r="D164" s="10"/>
      <c r="E164" s="10" t="s">
        <v>30</v>
      </c>
      <c r="F164" s="10" t="s">
        <v>28</v>
      </c>
      <c r="G164" s="10" t="s">
        <v>14</v>
      </c>
      <c r="H164" s="10">
        <f>MONTH(Dataset!$A164)</f>
        <v>4</v>
      </c>
      <c r="I164" s="11">
        <f>WEEKDAY(Dataset!$A164)</f>
        <v>3</v>
      </c>
      <c r="J164" s="12">
        <f>Dataset!$D164-Dataset!$C164</f>
        <v>-100.9</v>
      </c>
    </row>
    <row r="165" spans="1:10" x14ac:dyDescent="0.25">
      <c r="A165" s="13">
        <v>44299</v>
      </c>
      <c r="B165" s="14" t="s">
        <v>31</v>
      </c>
      <c r="C165" s="14">
        <v>54.9</v>
      </c>
      <c r="D165" s="14"/>
      <c r="E165" s="14" t="s">
        <v>32</v>
      </c>
      <c r="F165" s="14" t="s">
        <v>13</v>
      </c>
      <c r="G165" s="14" t="s">
        <v>14</v>
      </c>
      <c r="H165" s="14">
        <f>MONTH(Dataset!$A165)</f>
        <v>4</v>
      </c>
      <c r="I165" s="15">
        <f>WEEKDAY(Dataset!$A165)</f>
        <v>3</v>
      </c>
      <c r="J165" s="16">
        <f>Dataset!$D165-Dataset!$C165</f>
        <v>-54.9</v>
      </c>
    </row>
    <row r="166" spans="1:10" x14ac:dyDescent="0.25">
      <c r="A166" s="9">
        <v>44300</v>
      </c>
      <c r="B166" s="10" t="s">
        <v>33</v>
      </c>
      <c r="C166" s="10">
        <v>31</v>
      </c>
      <c r="D166" s="10"/>
      <c r="E166" s="10" t="s">
        <v>34</v>
      </c>
      <c r="F166" s="10" t="s">
        <v>20</v>
      </c>
      <c r="G166" s="10" t="s">
        <v>14</v>
      </c>
      <c r="H166" s="10">
        <f>MONTH(Dataset!$A166)</f>
        <v>4</v>
      </c>
      <c r="I166" s="11">
        <f>WEEKDAY(Dataset!$A166)</f>
        <v>4</v>
      </c>
      <c r="J166" s="12">
        <f>Dataset!$D166-Dataset!$C166</f>
        <v>-31</v>
      </c>
    </row>
    <row r="167" spans="1:10" x14ac:dyDescent="0.25">
      <c r="A167" s="13">
        <v>44301</v>
      </c>
      <c r="B167" s="14" t="s">
        <v>35</v>
      </c>
      <c r="C167" s="14"/>
      <c r="D167" s="14">
        <v>2340</v>
      </c>
      <c r="E167" s="14" t="s">
        <v>36</v>
      </c>
      <c r="F167" s="14" t="s">
        <v>37</v>
      </c>
      <c r="G167" s="14" t="s">
        <v>10</v>
      </c>
      <c r="H167" s="14">
        <f>MONTH(Dataset!$A167)</f>
        <v>4</v>
      </c>
      <c r="I167" s="15">
        <f>WEEKDAY(Dataset!$A167)</f>
        <v>5</v>
      </c>
      <c r="J167" s="16">
        <f>Dataset!$D167-Dataset!$C167</f>
        <v>2340</v>
      </c>
    </row>
    <row r="168" spans="1:10" x14ac:dyDescent="0.25">
      <c r="A168" s="9">
        <v>44301</v>
      </c>
      <c r="B168" s="10" t="s">
        <v>11</v>
      </c>
      <c r="C168" s="10">
        <v>5</v>
      </c>
      <c r="D168" s="10"/>
      <c r="E168" s="10" t="s">
        <v>12</v>
      </c>
      <c r="F168" s="10" t="s">
        <v>13</v>
      </c>
      <c r="G168" s="10" t="s">
        <v>14</v>
      </c>
      <c r="H168" s="10">
        <f>MONTH(Dataset!$A168)</f>
        <v>4</v>
      </c>
      <c r="I168" s="11">
        <f>WEEKDAY(Dataset!$A168)</f>
        <v>5</v>
      </c>
      <c r="J168" s="12">
        <f>Dataset!$D168-Dataset!$C168</f>
        <v>-5</v>
      </c>
    </row>
    <row r="169" spans="1:10" x14ac:dyDescent="0.25">
      <c r="A169" s="13">
        <v>44302</v>
      </c>
      <c r="B169" s="14" t="s">
        <v>11</v>
      </c>
      <c r="C169" s="14">
        <v>5</v>
      </c>
      <c r="D169" s="14"/>
      <c r="E169" s="14" t="s">
        <v>12</v>
      </c>
      <c r="F169" s="14" t="s">
        <v>13</v>
      </c>
      <c r="G169" s="14" t="s">
        <v>14</v>
      </c>
      <c r="H169" s="14">
        <f>MONTH(Dataset!$A169)</f>
        <v>4</v>
      </c>
      <c r="I169" s="15">
        <f>WEEKDAY(Dataset!$A169)</f>
        <v>6</v>
      </c>
      <c r="J169" s="16">
        <f>Dataset!$D169-Dataset!$C169</f>
        <v>-5</v>
      </c>
    </row>
    <row r="170" spans="1:10" x14ac:dyDescent="0.25">
      <c r="A170" s="9">
        <v>44302</v>
      </c>
      <c r="B170" s="10" t="s">
        <v>39</v>
      </c>
      <c r="C170" s="10">
        <v>40</v>
      </c>
      <c r="D170" s="10"/>
      <c r="E170" s="10" t="s">
        <v>39</v>
      </c>
      <c r="F170" s="10" t="s">
        <v>17</v>
      </c>
      <c r="G170" s="10" t="s">
        <v>14</v>
      </c>
      <c r="H170" s="10">
        <f>MONTH(Dataset!$A170)</f>
        <v>4</v>
      </c>
      <c r="I170" s="11">
        <f>WEEKDAY(Dataset!$A170)</f>
        <v>6</v>
      </c>
      <c r="J170" s="12">
        <f>Dataset!$D170-Dataset!$C170</f>
        <v>-40</v>
      </c>
    </row>
    <row r="171" spans="1:10" x14ac:dyDescent="0.25">
      <c r="A171" s="13">
        <v>44303</v>
      </c>
      <c r="B171" s="14" t="s">
        <v>40</v>
      </c>
      <c r="C171" s="14">
        <v>47.9</v>
      </c>
      <c r="D171" s="14"/>
      <c r="E171" s="14" t="s">
        <v>41</v>
      </c>
      <c r="F171" s="14" t="s">
        <v>28</v>
      </c>
      <c r="G171" s="14" t="s">
        <v>14</v>
      </c>
      <c r="H171" s="14">
        <f>MONTH(Dataset!$A171)</f>
        <v>4</v>
      </c>
      <c r="I171" s="15">
        <f>WEEKDAY(Dataset!$A171)</f>
        <v>7</v>
      </c>
      <c r="J171" s="16">
        <f>Dataset!$D171-Dataset!$C171</f>
        <v>-47.9</v>
      </c>
    </row>
    <row r="172" spans="1:10" x14ac:dyDescent="0.25">
      <c r="A172" s="9">
        <v>44303</v>
      </c>
      <c r="B172" s="10" t="s">
        <v>42</v>
      </c>
      <c r="C172" s="10">
        <v>35</v>
      </c>
      <c r="D172" s="10"/>
      <c r="E172" s="10" t="s">
        <v>27</v>
      </c>
      <c r="F172" s="10" t="s">
        <v>28</v>
      </c>
      <c r="G172" s="10" t="s">
        <v>14</v>
      </c>
      <c r="H172" s="10">
        <f>MONTH(Dataset!$A172)</f>
        <v>4</v>
      </c>
      <c r="I172" s="11">
        <f>WEEKDAY(Dataset!$A172)</f>
        <v>7</v>
      </c>
      <c r="J172" s="12">
        <f>Dataset!$D172-Dataset!$C172</f>
        <v>-35</v>
      </c>
    </row>
    <row r="173" spans="1:10" x14ac:dyDescent="0.25">
      <c r="A173" s="13">
        <v>44303</v>
      </c>
      <c r="B173" s="14" t="s">
        <v>11</v>
      </c>
      <c r="C173" s="14">
        <v>5</v>
      </c>
      <c r="D173" s="14"/>
      <c r="E173" s="14" t="s">
        <v>12</v>
      </c>
      <c r="F173" s="14" t="s">
        <v>13</v>
      </c>
      <c r="G173" s="14" t="s">
        <v>14</v>
      </c>
      <c r="H173" s="14">
        <f>MONTH(Dataset!$A173)</f>
        <v>4</v>
      </c>
      <c r="I173" s="15">
        <f>WEEKDAY(Dataset!$A173)</f>
        <v>7</v>
      </c>
      <c r="J173" s="16">
        <f>Dataset!$D173-Dataset!$C173</f>
        <v>-5</v>
      </c>
    </row>
    <row r="174" spans="1:10" x14ac:dyDescent="0.25">
      <c r="A174" s="9">
        <v>44304</v>
      </c>
      <c r="B174" s="10" t="s">
        <v>11</v>
      </c>
      <c r="C174" s="10">
        <v>5</v>
      </c>
      <c r="D174" s="10"/>
      <c r="E174" s="10" t="s">
        <v>12</v>
      </c>
      <c r="F174" s="10" t="s">
        <v>13</v>
      </c>
      <c r="G174" s="10" t="s">
        <v>14</v>
      </c>
      <c r="H174" s="10">
        <f>MONTH(Dataset!$A174)</f>
        <v>4</v>
      </c>
      <c r="I174" s="11">
        <f>WEEKDAY(Dataset!$A174)</f>
        <v>1</v>
      </c>
      <c r="J174" s="12">
        <f>Dataset!$D174-Dataset!$C174</f>
        <v>-5</v>
      </c>
    </row>
    <row r="175" spans="1:10" x14ac:dyDescent="0.25">
      <c r="A175" s="13">
        <v>44305</v>
      </c>
      <c r="B175" s="14" t="s">
        <v>11</v>
      </c>
      <c r="C175" s="14">
        <v>5</v>
      </c>
      <c r="D175" s="14"/>
      <c r="E175" s="14" t="s">
        <v>12</v>
      </c>
      <c r="F175" s="14" t="s">
        <v>13</v>
      </c>
      <c r="G175" s="14" t="s">
        <v>14</v>
      </c>
      <c r="H175" s="14">
        <f>MONTH(Dataset!$A175)</f>
        <v>4</v>
      </c>
      <c r="I175" s="15">
        <f>WEEKDAY(Dataset!$A175)</f>
        <v>2</v>
      </c>
      <c r="J175" s="16">
        <f>Dataset!$D175-Dataset!$C175</f>
        <v>-5</v>
      </c>
    </row>
    <row r="176" spans="1:10" x14ac:dyDescent="0.25">
      <c r="A176" s="9">
        <v>44305</v>
      </c>
      <c r="B176" s="10" t="s">
        <v>21</v>
      </c>
      <c r="C176" s="10">
        <v>173</v>
      </c>
      <c r="D176" s="10"/>
      <c r="E176" s="10" t="s">
        <v>22</v>
      </c>
      <c r="F176" s="10" t="s">
        <v>17</v>
      </c>
      <c r="G176" s="10" t="s">
        <v>14</v>
      </c>
      <c r="H176" s="10">
        <f>MONTH(Dataset!$A176)</f>
        <v>4</v>
      </c>
      <c r="I176" s="11">
        <f>WEEKDAY(Dataset!$A176)</f>
        <v>2</v>
      </c>
      <c r="J176" s="12">
        <f>Dataset!$D176-Dataset!$C176</f>
        <v>-173</v>
      </c>
    </row>
    <row r="177" spans="1:10" x14ac:dyDescent="0.25">
      <c r="A177" s="13">
        <v>44306</v>
      </c>
      <c r="B177" s="14" t="s">
        <v>43</v>
      </c>
      <c r="C177" s="14">
        <v>40.1</v>
      </c>
      <c r="D177" s="14"/>
      <c r="E177" s="14" t="s">
        <v>32</v>
      </c>
      <c r="F177" s="14" t="s">
        <v>13</v>
      </c>
      <c r="G177" s="14" t="s">
        <v>14</v>
      </c>
      <c r="H177" s="14">
        <f>MONTH(Dataset!$A177)</f>
        <v>4</v>
      </c>
      <c r="I177" s="15">
        <f>WEEKDAY(Dataset!$A177)</f>
        <v>3</v>
      </c>
      <c r="J177" s="16">
        <f>Dataset!$D177-Dataset!$C177</f>
        <v>-40.1</v>
      </c>
    </row>
    <row r="178" spans="1:10" x14ac:dyDescent="0.25">
      <c r="A178" s="9">
        <v>44307</v>
      </c>
      <c r="B178" s="10" t="s">
        <v>44</v>
      </c>
      <c r="C178" s="10">
        <v>15.1</v>
      </c>
      <c r="D178" s="10"/>
      <c r="E178" s="10" t="s">
        <v>32</v>
      </c>
      <c r="F178" s="10" t="s">
        <v>13</v>
      </c>
      <c r="G178" s="10" t="s">
        <v>14</v>
      </c>
      <c r="H178" s="10">
        <f>MONTH(Dataset!$A178)</f>
        <v>4</v>
      </c>
      <c r="I178" s="11">
        <f>WEEKDAY(Dataset!$A178)</f>
        <v>4</v>
      </c>
      <c r="J178" s="12">
        <f>Dataset!$D178-Dataset!$C178</f>
        <v>-15.1</v>
      </c>
    </row>
    <row r="179" spans="1:10" x14ac:dyDescent="0.25">
      <c r="A179" s="13">
        <v>44308</v>
      </c>
      <c r="B179" s="14" t="s">
        <v>45</v>
      </c>
      <c r="C179" s="14">
        <v>55</v>
      </c>
      <c r="D179" s="14"/>
      <c r="E179" s="14" t="s">
        <v>46</v>
      </c>
      <c r="F179" s="14" t="s">
        <v>47</v>
      </c>
      <c r="G179" s="14" t="s">
        <v>14</v>
      </c>
      <c r="H179" s="14">
        <f>MONTH(Dataset!$A179)</f>
        <v>4</v>
      </c>
      <c r="I179" s="15">
        <f>WEEKDAY(Dataset!$A179)</f>
        <v>5</v>
      </c>
      <c r="J179" s="16">
        <f>Dataset!$D179-Dataset!$C179</f>
        <v>-55</v>
      </c>
    </row>
    <row r="180" spans="1:10" x14ac:dyDescent="0.25">
      <c r="A180" s="9">
        <v>44308</v>
      </c>
      <c r="B180" s="10" t="s">
        <v>25</v>
      </c>
      <c r="C180" s="10">
        <v>66</v>
      </c>
      <c r="D180" s="10"/>
      <c r="E180" s="10" t="s">
        <v>48</v>
      </c>
      <c r="F180" s="10" t="s">
        <v>20</v>
      </c>
      <c r="G180" s="10" t="s">
        <v>14</v>
      </c>
      <c r="H180" s="10">
        <f>MONTH(Dataset!$A180)</f>
        <v>4</v>
      </c>
      <c r="I180" s="11">
        <f>WEEKDAY(Dataset!$A180)</f>
        <v>5</v>
      </c>
      <c r="J180" s="12">
        <f>Dataset!$D180-Dataset!$C180</f>
        <v>-66</v>
      </c>
    </row>
    <row r="181" spans="1:10" x14ac:dyDescent="0.25">
      <c r="A181" s="13">
        <v>44308</v>
      </c>
      <c r="B181" s="14" t="s">
        <v>11</v>
      </c>
      <c r="C181" s="14">
        <v>5</v>
      </c>
      <c r="D181" s="14"/>
      <c r="E181" s="14" t="s">
        <v>12</v>
      </c>
      <c r="F181" s="14" t="s">
        <v>13</v>
      </c>
      <c r="G181" s="14" t="s">
        <v>14</v>
      </c>
      <c r="H181" s="14">
        <f>MONTH(Dataset!$A181)</f>
        <v>4</v>
      </c>
      <c r="I181" s="15">
        <f>WEEKDAY(Dataset!$A181)</f>
        <v>5</v>
      </c>
      <c r="J181" s="16">
        <f>Dataset!$D181-Dataset!$C181</f>
        <v>-5</v>
      </c>
    </row>
    <row r="182" spans="1:10" x14ac:dyDescent="0.25">
      <c r="A182" s="9">
        <v>44309</v>
      </c>
      <c r="B182" s="10" t="s">
        <v>11</v>
      </c>
      <c r="C182" s="10">
        <v>5</v>
      </c>
      <c r="D182" s="10"/>
      <c r="E182" s="10" t="s">
        <v>12</v>
      </c>
      <c r="F182" s="10" t="s">
        <v>13</v>
      </c>
      <c r="G182" s="10" t="s">
        <v>14</v>
      </c>
      <c r="H182" s="10">
        <f>MONTH(Dataset!$A182)</f>
        <v>4</v>
      </c>
      <c r="I182" s="11">
        <f>WEEKDAY(Dataset!$A182)</f>
        <v>6</v>
      </c>
      <c r="J182" s="12">
        <f>Dataset!$D182-Dataset!$C182</f>
        <v>-5</v>
      </c>
    </row>
    <row r="183" spans="1:10" x14ac:dyDescent="0.25">
      <c r="A183" s="13">
        <v>44310</v>
      </c>
      <c r="B183" s="14" t="s">
        <v>11</v>
      </c>
      <c r="C183" s="14">
        <v>5</v>
      </c>
      <c r="D183" s="14"/>
      <c r="E183" s="14" t="s">
        <v>12</v>
      </c>
      <c r="F183" s="14" t="s">
        <v>13</v>
      </c>
      <c r="G183" s="14" t="s">
        <v>14</v>
      </c>
      <c r="H183" s="14">
        <f>MONTH(Dataset!$A183)</f>
        <v>4</v>
      </c>
      <c r="I183" s="15">
        <f>WEEKDAY(Dataset!$A183)</f>
        <v>7</v>
      </c>
      <c r="J183" s="16">
        <f>Dataset!$D183-Dataset!$C183</f>
        <v>-5</v>
      </c>
    </row>
    <row r="184" spans="1:10" x14ac:dyDescent="0.25">
      <c r="A184" s="9">
        <v>44311</v>
      </c>
      <c r="B184" s="10" t="s">
        <v>11</v>
      </c>
      <c r="C184" s="10">
        <v>5</v>
      </c>
      <c r="D184" s="10"/>
      <c r="E184" s="10" t="s">
        <v>12</v>
      </c>
      <c r="F184" s="10" t="s">
        <v>13</v>
      </c>
      <c r="G184" s="10" t="s">
        <v>14</v>
      </c>
      <c r="H184" s="10">
        <f>MONTH(Dataset!$A184)</f>
        <v>4</v>
      </c>
      <c r="I184" s="11">
        <f>WEEKDAY(Dataset!$A184)</f>
        <v>1</v>
      </c>
      <c r="J184" s="12">
        <f>Dataset!$D184-Dataset!$C184</f>
        <v>-5</v>
      </c>
    </row>
    <row r="185" spans="1:10" x14ac:dyDescent="0.25">
      <c r="A185" s="13">
        <v>44312</v>
      </c>
      <c r="B185" s="14" t="s">
        <v>11</v>
      </c>
      <c r="C185" s="14">
        <v>5</v>
      </c>
      <c r="D185" s="14"/>
      <c r="E185" s="14" t="s">
        <v>12</v>
      </c>
      <c r="F185" s="14" t="s">
        <v>13</v>
      </c>
      <c r="G185" s="14" t="s">
        <v>14</v>
      </c>
      <c r="H185" s="14">
        <f>MONTH(Dataset!$A185)</f>
        <v>4</v>
      </c>
      <c r="I185" s="15">
        <f>WEEKDAY(Dataset!$A185)</f>
        <v>2</v>
      </c>
      <c r="J185" s="16">
        <f>Dataset!$D185-Dataset!$C185</f>
        <v>-5</v>
      </c>
    </row>
    <row r="186" spans="1:10" x14ac:dyDescent="0.25">
      <c r="A186" s="9">
        <v>44312</v>
      </c>
      <c r="B186" s="10" t="s">
        <v>21</v>
      </c>
      <c r="C186" s="10">
        <v>164.9</v>
      </c>
      <c r="D186" s="10"/>
      <c r="E186" s="10" t="s">
        <v>22</v>
      </c>
      <c r="F186" s="10" t="s">
        <v>17</v>
      </c>
      <c r="G186" s="10" t="s">
        <v>14</v>
      </c>
      <c r="H186" s="10">
        <f>MONTH(Dataset!$A186)</f>
        <v>4</v>
      </c>
      <c r="I186" s="11">
        <f>WEEKDAY(Dataset!$A186)</f>
        <v>2</v>
      </c>
      <c r="J186" s="12">
        <f>Dataset!$D186-Dataset!$C186</f>
        <v>-164.9</v>
      </c>
    </row>
    <row r="187" spans="1:10" x14ac:dyDescent="0.25">
      <c r="A187" s="13">
        <v>44313</v>
      </c>
      <c r="B187" s="14" t="s">
        <v>49</v>
      </c>
      <c r="C187" s="14">
        <v>127.9</v>
      </c>
      <c r="D187" s="14"/>
      <c r="E187" s="14" t="s">
        <v>30</v>
      </c>
      <c r="F187" s="14" t="s">
        <v>28</v>
      </c>
      <c r="G187" s="14" t="s">
        <v>14</v>
      </c>
      <c r="H187" s="14">
        <f>MONTH(Dataset!$A187)</f>
        <v>4</v>
      </c>
      <c r="I187" s="15">
        <f>WEEKDAY(Dataset!$A187)</f>
        <v>3</v>
      </c>
      <c r="J187" s="16">
        <f>Dataset!$D187-Dataset!$C187</f>
        <v>-127.9</v>
      </c>
    </row>
    <row r="188" spans="1:10" x14ac:dyDescent="0.25">
      <c r="A188" s="9">
        <v>44313</v>
      </c>
      <c r="B188" s="10" t="s">
        <v>57</v>
      </c>
      <c r="C188" s="10">
        <v>300</v>
      </c>
      <c r="D188" s="10"/>
      <c r="E188" s="10" t="s">
        <v>27</v>
      </c>
      <c r="F188" s="10" t="s">
        <v>28</v>
      </c>
      <c r="G188" s="10" t="s">
        <v>14</v>
      </c>
      <c r="H188" s="10">
        <f>MONTH(Dataset!$A188)</f>
        <v>4</v>
      </c>
      <c r="I188" s="11">
        <f>WEEKDAY(Dataset!$A188)</f>
        <v>3</v>
      </c>
      <c r="J188" s="12">
        <f>Dataset!$D188-Dataset!$C188</f>
        <v>-300</v>
      </c>
    </row>
    <row r="189" spans="1:10" x14ac:dyDescent="0.25">
      <c r="A189" s="13">
        <v>44314</v>
      </c>
      <c r="B189" s="14" t="s">
        <v>29</v>
      </c>
      <c r="C189" s="14">
        <v>148.1</v>
      </c>
      <c r="D189" s="14"/>
      <c r="E189" s="14" t="s">
        <v>30</v>
      </c>
      <c r="F189" s="14" t="s">
        <v>28</v>
      </c>
      <c r="G189" s="14" t="s">
        <v>14</v>
      </c>
      <c r="H189" s="14">
        <f>MONTH(Dataset!$A189)</f>
        <v>4</v>
      </c>
      <c r="I189" s="15">
        <f>WEEKDAY(Dataset!$A189)</f>
        <v>4</v>
      </c>
      <c r="J189" s="16">
        <f>Dataset!$D189-Dataset!$C189</f>
        <v>-148.1</v>
      </c>
    </row>
    <row r="190" spans="1:10" x14ac:dyDescent="0.25">
      <c r="A190" s="9">
        <v>44314</v>
      </c>
      <c r="B190" s="10" t="s">
        <v>33</v>
      </c>
      <c r="C190" s="10">
        <v>26.1</v>
      </c>
      <c r="D190" s="10"/>
      <c r="E190" s="10" t="s">
        <v>34</v>
      </c>
      <c r="F190" s="10" t="s">
        <v>20</v>
      </c>
      <c r="G190" s="10" t="s">
        <v>14</v>
      </c>
      <c r="H190" s="10">
        <f>MONTH(Dataset!$A190)</f>
        <v>4</v>
      </c>
      <c r="I190" s="11">
        <f>WEEKDAY(Dataset!$A190)</f>
        <v>4</v>
      </c>
      <c r="J190" s="12">
        <f>Dataset!$D190-Dataset!$C190</f>
        <v>-26.1</v>
      </c>
    </row>
    <row r="191" spans="1:10" x14ac:dyDescent="0.25">
      <c r="A191" s="13">
        <v>44315</v>
      </c>
      <c r="B191" s="14" t="s">
        <v>56</v>
      </c>
      <c r="C191" s="14">
        <v>15</v>
      </c>
      <c r="D191" s="14"/>
      <c r="E191" s="14" t="s">
        <v>32</v>
      </c>
      <c r="F191" s="14" t="s">
        <v>13</v>
      </c>
      <c r="G191" s="14" t="s">
        <v>14</v>
      </c>
      <c r="H191" s="14">
        <f>MONTH(Dataset!$A191)</f>
        <v>4</v>
      </c>
      <c r="I191" s="15">
        <f>WEEKDAY(Dataset!$A191)</f>
        <v>5</v>
      </c>
      <c r="J191" s="16">
        <f>Dataset!$D191-Dataset!$C191</f>
        <v>-15</v>
      </c>
    </row>
    <row r="192" spans="1:10" x14ac:dyDescent="0.25">
      <c r="A192" s="9">
        <v>44315</v>
      </c>
      <c r="B192" s="10" t="s">
        <v>11</v>
      </c>
      <c r="C192" s="10">
        <v>5</v>
      </c>
      <c r="D192" s="10"/>
      <c r="E192" s="10" t="s">
        <v>12</v>
      </c>
      <c r="F192" s="10" t="s">
        <v>13</v>
      </c>
      <c r="G192" s="10" t="s">
        <v>14</v>
      </c>
      <c r="H192" s="10">
        <f>MONTH(Dataset!$A192)</f>
        <v>4</v>
      </c>
      <c r="I192" s="11">
        <f>WEEKDAY(Dataset!$A192)</f>
        <v>5</v>
      </c>
      <c r="J192" s="12">
        <f>Dataset!$D192-Dataset!$C192</f>
        <v>-5</v>
      </c>
    </row>
    <row r="193" spans="1:10" x14ac:dyDescent="0.25">
      <c r="A193" s="13">
        <v>44316</v>
      </c>
      <c r="B193" s="14" t="s">
        <v>11</v>
      </c>
      <c r="C193" s="14">
        <v>5</v>
      </c>
      <c r="D193" s="14"/>
      <c r="E193" s="14" t="s">
        <v>12</v>
      </c>
      <c r="F193" s="14" t="s">
        <v>13</v>
      </c>
      <c r="G193" s="14" t="s">
        <v>14</v>
      </c>
      <c r="H193" s="14">
        <f>MONTH(Dataset!$A193)</f>
        <v>4</v>
      </c>
      <c r="I193" s="15">
        <f>WEEKDAY(Dataset!$A193)</f>
        <v>6</v>
      </c>
      <c r="J193" s="16">
        <f>Dataset!$D193-Dataset!$C193</f>
        <v>-5</v>
      </c>
    </row>
    <row r="194" spans="1:10" x14ac:dyDescent="0.25">
      <c r="A194" s="9">
        <v>44318</v>
      </c>
      <c r="B194" s="10" t="s">
        <v>11</v>
      </c>
      <c r="C194" s="10">
        <v>5</v>
      </c>
      <c r="D194" s="10"/>
      <c r="E194" s="10" t="s">
        <v>12</v>
      </c>
      <c r="F194" s="10" t="s">
        <v>13</v>
      </c>
      <c r="G194" s="10" t="s">
        <v>14</v>
      </c>
      <c r="H194" s="10">
        <f>MONTH(Dataset!$A194)</f>
        <v>5</v>
      </c>
      <c r="I194" s="11">
        <f>WEEKDAY(Dataset!$A194)</f>
        <v>1</v>
      </c>
      <c r="J194" s="12">
        <f>Dataset!$D194-Dataset!$C194</f>
        <v>-5</v>
      </c>
    </row>
    <row r="195" spans="1:10" x14ac:dyDescent="0.25">
      <c r="A195" s="13">
        <v>44319</v>
      </c>
      <c r="B195" s="14" t="s">
        <v>7</v>
      </c>
      <c r="C195" s="14"/>
      <c r="D195" s="14">
        <v>5000</v>
      </c>
      <c r="E195" s="14" t="s">
        <v>8</v>
      </c>
      <c r="F195" s="14" t="s">
        <v>9</v>
      </c>
      <c r="G195" s="14" t="s">
        <v>10</v>
      </c>
      <c r="H195" s="14">
        <f>MONTH(Dataset!$A195)</f>
        <v>5</v>
      </c>
      <c r="I195" s="15">
        <f>WEEKDAY(Dataset!$A195)</f>
        <v>2</v>
      </c>
      <c r="J195" s="16">
        <f>Dataset!$D195-Dataset!$C195</f>
        <v>5000</v>
      </c>
    </row>
    <row r="196" spans="1:10" x14ac:dyDescent="0.25">
      <c r="A196" s="9">
        <v>44319</v>
      </c>
      <c r="B196" s="10" t="s">
        <v>15</v>
      </c>
      <c r="C196" s="10">
        <v>900</v>
      </c>
      <c r="D196" s="10"/>
      <c r="E196" s="10" t="s">
        <v>16</v>
      </c>
      <c r="F196" s="10" t="s">
        <v>17</v>
      </c>
      <c r="G196" s="10" t="s">
        <v>14</v>
      </c>
      <c r="H196" s="10">
        <f>MONTH(Dataset!$A196)</f>
        <v>5</v>
      </c>
      <c r="I196" s="11">
        <f>WEEKDAY(Dataset!$A196)</f>
        <v>2</v>
      </c>
      <c r="J196" s="12">
        <f>Dataset!$D196-Dataset!$C196</f>
        <v>-900</v>
      </c>
    </row>
    <row r="197" spans="1:10" x14ac:dyDescent="0.25">
      <c r="A197" s="13">
        <v>44319</v>
      </c>
      <c r="B197" s="14" t="s">
        <v>18</v>
      </c>
      <c r="C197" s="14">
        <v>150</v>
      </c>
      <c r="D197" s="14"/>
      <c r="E197" s="14" t="s">
        <v>19</v>
      </c>
      <c r="F197" s="14" t="s">
        <v>20</v>
      </c>
      <c r="G197" s="14" t="s">
        <v>14</v>
      </c>
      <c r="H197" s="14">
        <f>MONTH(Dataset!$A197)</f>
        <v>5</v>
      </c>
      <c r="I197" s="15">
        <f>WEEKDAY(Dataset!$A197)</f>
        <v>2</v>
      </c>
      <c r="J197" s="16">
        <f>Dataset!$D197-Dataset!$C197</f>
        <v>-150</v>
      </c>
    </row>
    <row r="198" spans="1:10" x14ac:dyDescent="0.25">
      <c r="A198" s="9">
        <v>44319</v>
      </c>
      <c r="B198" s="10" t="s">
        <v>11</v>
      </c>
      <c r="C198" s="10">
        <v>5</v>
      </c>
      <c r="D198" s="10"/>
      <c r="E198" s="10" t="s">
        <v>12</v>
      </c>
      <c r="F198" s="10" t="s">
        <v>13</v>
      </c>
      <c r="G198" s="10" t="s">
        <v>14</v>
      </c>
      <c r="H198" s="10">
        <f>MONTH(Dataset!$A198)</f>
        <v>5</v>
      </c>
      <c r="I198" s="11">
        <f>WEEKDAY(Dataset!$A198)</f>
        <v>2</v>
      </c>
      <c r="J198" s="12">
        <f>Dataset!$D198-Dataset!$C198</f>
        <v>-5</v>
      </c>
    </row>
    <row r="199" spans="1:10" x14ac:dyDescent="0.25">
      <c r="A199" s="13">
        <v>44320</v>
      </c>
      <c r="B199" s="14" t="s">
        <v>11</v>
      </c>
      <c r="C199" s="14">
        <v>5</v>
      </c>
      <c r="D199" s="14"/>
      <c r="E199" s="14" t="s">
        <v>12</v>
      </c>
      <c r="F199" s="14" t="s">
        <v>13</v>
      </c>
      <c r="G199" s="14" t="s">
        <v>14</v>
      </c>
      <c r="H199" s="14">
        <f>MONTH(Dataset!$A199)</f>
        <v>5</v>
      </c>
      <c r="I199" s="15">
        <f>WEEKDAY(Dataset!$A199)</f>
        <v>3</v>
      </c>
      <c r="J199" s="16">
        <f>Dataset!$D199-Dataset!$C199</f>
        <v>-5</v>
      </c>
    </row>
    <row r="200" spans="1:10" x14ac:dyDescent="0.25">
      <c r="A200" s="9">
        <v>44321</v>
      </c>
      <c r="B200" s="10" t="s">
        <v>11</v>
      </c>
      <c r="C200" s="10">
        <v>5</v>
      </c>
      <c r="D200" s="10"/>
      <c r="E200" s="10" t="s">
        <v>12</v>
      </c>
      <c r="F200" s="10" t="s">
        <v>13</v>
      </c>
      <c r="G200" s="10" t="s">
        <v>14</v>
      </c>
      <c r="H200" s="10">
        <f>MONTH(Dataset!$A200)</f>
        <v>5</v>
      </c>
      <c r="I200" s="11">
        <f>WEEKDAY(Dataset!$A200)</f>
        <v>4</v>
      </c>
      <c r="J200" s="12">
        <f>Dataset!$D200-Dataset!$C200</f>
        <v>-5</v>
      </c>
    </row>
    <row r="201" spans="1:10" x14ac:dyDescent="0.25">
      <c r="A201" s="13">
        <v>44322</v>
      </c>
      <c r="B201" s="14" t="s">
        <v>11</v>
      </c>
      <c r="C201" s="14">
        <v>5</v>
      </c>
      <c r="D201" s="14"/>
      <c r="E201" s="14" t="s">
        <v>12</v>
      </c>
      <c r="F201" s="14" t="s">
        <v>13</v>
      </c>
      <c r="G201" s="14" t="s">
        <v>14</v>
      </c>
      <c r="H201" s="14">
        <f>MONTH(Dataset!$A201)</f>
        <v>5</v>
      </c>
      <c r="I201" s="15">
        <f>WEEKDAY(Dataset!$A201)</f>
        <v>5</v>
      </c>
      <c r="J201" s="16">
        <f>Dataset!$D201-Dataset!$C201</f>
        <v>-5</v>
      </c>
    </row>
    <row r="202" spans="1:10" x14ac:dyDescent="0.25">
      <c r="A202" s="9">
        <v>44322</v>
      </c>
      <c r="B202" s="10" t="s">
        <v>21</v>
      </c>
      <c r="C202" s="10">
        <v>170</v>
      </c>
      <c r="D202" s="10"/>
      <c r="E202" s="10" t="s">
        <v>22</v>
      </c>
      <c r="F202" s="10" t="s">
        <v>17</v>
      </c>
      <c r="G202" s="10" t="s">
        <v>14</v>
      </c>
      <c r="H202" s="10">
        <f>MONTH(Dataset!$A202)</f>
        <v>5</v>
      </c>
      <c r="I202" s="11">
        <f>WEEKDAY(Dataset!$A202)</f>
        <v>5</v>
      </c>
      <c r="J202" s="12">
        <f>Dataset!$D202-Dataset!$C202</f>
        <v>-170</v>
      </c>
    </row>
    <row r="203" spans="1:10" x14ac:dyDescent="0.25">
      <c r="A203" s="13">
        <v>44325</v>
      </c>
      <c r="B203" s="14" t="s">
        <v>23</v>
      </c>
      <c r="C203" s="14">
        <v>54.1</v>
      </c>
      <c r="D203" s="14"/>
      <c r="E203" s="14" t="s">
        <v>24</v>
      </c>
      <c r="F203" s="14" t="s">
        <v>17</v>
      </c>
      <c r="G203" s="14" t="s">
        <v>14</v>
      </c>
      <c r="H203" s="14">
        <f>MONTH(Dataset!$A203)</f>
        <v>5</v>
      </c>
      <c r="I203" s="15">
        <f>WEEKDAY(Dataset!$A203)</f>
        <v>1</v>
      </c>
      <c r="J203" s="16">
        <f>Dataset!$D203-Dataset!$C203</f>
        <v>-54.1</v>
      </c>
    </row>
    <row r="204" spans="1:10" x14ac:dyDescent="0.25">
      <c r="A204" s="9">
        <v>44325</v>
      </c>
      <c r="B204" s="10" t="s">
        <v>11</v>
      </c>
      <c r="C204" s="10">
        <v>5</v>
      </c>
      <c r="D204" s="10"/>
      <c r="E204" s="10" t="s">
        <v>12</v>
      </c>
      <c r="F204" s="10" t="s">
        <v>13</v>
      </c>
      <c r="G204" s="10" t="s">
        <v>14</v>
      </c>
      <c r="H204" s="10">
        <f>MONTH(Dataset!$A204)</f>
        <v>5</v>
      </c>
      <c r="I204" s="11">
        <f>WEEKDAY(Dataset!$A204)</f>
        <v>1</v>
      </c>
      <c r="J204" s="12">
        <f>Dataset!$D204-Dataset!$C204</f>
        <v>-5</v>
      </c>
    </row>
    <row r="205" spans="1:10" x14ac:dyDescent="0.25">
      <c r="A205" s="13">
        <v>44326</v>
      </c>
      <c r="B205" s="14" t="s">
        <v>11</v>
      </c>
      <c r="C205" s="14">
        <v>5</v>
      </c>
      <c r="D205" s="14"/>
      <c r="E205" s="14" t="s">
        <v>12</v>
      </c>
      <c r="F205" s="14" t="s">
        <v>13</v>
      </c>
      <c r="G205" s="14" t="s">
        <v>14</v>
      </c>
      <c r="H205" s="14">
        <f>MONTH(Dataset!$A205)</f>
        <v>5</v>
      </c>
      <c r="I205" s="15">
        <f>WEEKDAY(Dataset!$A205)</f>
        <v>2</v>
      </c>
      <c r="J205" s="16">
        <f>Dataset!$D205-Dataset!$C205</f>
        <v>-5</v>
      </c>
    </row>
    <row r="206" spans="1:10" x14ac:dyDescent="0.25">
      <c r="A206" s="9">
        <v>44327</v>
      </c>
      <c r="B206" s="10" t="s">
        <v>25</v>
      </c>
      <c r="C206" s="10">
        <v>81</v>
      </c>
      <c r="D206" s="10"/>
      <c r="E206" s="10" t="s">
        <v>48</v>
      </c>
      <c r="F206" s="10" t="s">
        <v>20</v>
      </c>
      <c r="G206" s="10" t="s">
        <v>14</v>
      </c>
      <c r="H206" s="10">
        <f>MONTH(Dataset!$A206)</f>
        <v>5</v>
      </c>
      <c r="I206" s="11">
        <f>WEEKDAY(Dataset!$A206)</f>
        <v>3</v>
      </c>
      <c r="J206" s="12">
        <f>Dataset!$D206-Dataset!$C206</f>
        <v>-81</v>
      </c>
    </row>
    <row r="207" spans="1:10" x14ac:dyDescent="0.25">
      <c r="A207" s="13">
        <v>44327</v>
      </c>
      <c r="B207" s="14" t="s">
        <v>11</v>
      </c>
      <c r="C207" s="14">
        <v>5</v>
      </c>
      <c r="D207" s="14"/>
      <c r="E207" s="14" t="s">
        <v>12</v>
      </c>
      <c r="F207" s="14" t="s">
        <v>13</v>
      </c>
      <c r="G207" s="14" t="s">
        <v>14</v>
      </c>
      <c r="H207" s="14">
        <f>MONTH(Dataset!$A207)</f>
        <v>5</v>
      </c>
      <c r="I207" s="15">
        <f>WEEKDAY(Dataset!$A207)</f>
        <v>3</v>
      </c>
      <c r="J207" s="16">
        <f>Dataset!$D207-Dataset!$C207</f>
        <v>-5</v>
      </c>
    </row>
    <row r="208" spans="1:10" x14ac:dyDescent="0.25">
      <c r="A208" s="9">
        <v>44328</v>
      </c>
      <c r="B208" s="10" t="s">
        <v>11</v>
      </c>
      <c r="C208" s="10">
        <v>5</v>
      </c>
      <c r="D208" s="10"/>
      <c r="E208" s="10" t="s">
        <v>12</v>
      </c>
      <c r="F208" s="10" t="s">
        <v>13</v>
      </c>
      <c r="G208" s="10" t="s">
        <v>14</v>
      </c>
      <c r="H208" s="10">
        <f>MONTH(Dataset!$A208)</f>
        <v>5</v>
      </c>
      <c r="I208" s="11">
        <f>WEEKDAY(Dataset!$A208)</f>
        <v>4</v>
      </c>
      <c r="J208" s="12">
        <f>Dataset!$D208-Dataset!$C208</f>
        <v>-5</v>
      </c>
    </row>
    <row r="209" spans="1:10" x14ac:dyDescent="0.25">
      <c r="A209" s="13">
        <v>44329</v>
      </c>
      <c r="B209" s="14" t="s">
        <v>21</v>
      </c>
      <c r="C209" s="14">
        <v>139.1</v>
      </c>
      <c r="D209" s="14"/>
      <c r="E209" s="14" t="s">
        <v>22</v>
      </c>
      <c r="F209" s="14" t="s">
        <v>17</v>
      </c>
      <c r="G209" s="14" t="s">
        <v>14</v>
      </c>
      <c r="H209" s="14">
        <f>MONTH(Dataset!$A209)</f>
        <v>5</v>
      </c>
      <c r="I209" s="15">
        <f>WEEKDAY(Dataset!$A209)</f>
        <v>5</v>
      </c>
      <c r="J209" s="16">
        <f>Dataset!$D209-Dataset!$C209</f>
        <v>-139.1</v>
      </c>
    </row>
    <row r="210" spans="1:10" x14ac:dyDescent="0.25">
      <c r="A210" s="9">
        <v>44329</v>
      </c>
      <c r="B210" s="10" t="s">
        <v>11</v>
      </c>
      <c r="C210" s="10">
        <v>5</v>
      </c>
      <c r="D210" s="10"/>
      <c r="E210" s="10" t="s">
        <v>12</v>
      </c>
      <c r="F210" s="10" t="s">
        <v>13</v>
      </c>
      <c r="G210" s="10" t="s">
        <v>14</v>
      </c>
      <c r="H210" s="10">
        <f>MONTH(Dataset!$A210)</f>
        <v>5</v>
      </c>
      <c r="I210" s="11">
        <f>WEEKDAY(Dataset!$A210)</f>
        <v>5</v>
      </c>
      <c r="J210" s="12">
        <f>Dataset!$D210-Dataset!$C210</f>
        <v>-5</v>
      </c>
    </row>
    <row r="211" spans="1:10" x14ac:dyDescent="0.25">
      <c r="A211" s="13">
        <v>44330</v>
      </c>
      <c r="B211" s="14" t="s">
        <v>11</v>
      </c>
      <c r="C211" s="14">
        <v>5</v>
      </c>
      <c r="D211" s="14"/>
      <c r="E211" s="14" t="s">
        <v>12</v>
      </c>
      <c r="F211" s="14" t="s">
        <v>13</v>
      </c>
      <c r="G211" s="14" t="s">
        <v>14</v>
      </c>
      <c r="H211" s="14">
        <f>MONTH(Dataset!$A211)</f>
        <v>5</v>
      </c>
      <c r="I211" s="15">
        <f>WEEKDAY(Dataset!$A211)</f>
        <v>6</v>
      </c>
      <c r="J211" s="16">
        <f>Dataset!$D211-Dataset!$C211</f>
        <v>-5</v>
      </c>
    </row>
    <row r="212" spans="1:10" x14ac:dyDescent="0.25">
      <c r="A212" s="9">
        <v>44330</v>
      </c>
      <c r="B212" s="10" t="s">
        <v>26</v>
      </c>
      <c r="C212" s="10">
        <v>43.9</v>
      </c>
      <c r="D212" s="10"/>
      <c r="E212" s="10" t="s">
        <v>27</v>
      </c>
      <c r="F212" s="10" t="s">
        <v>28</v>
      </c>
      <c r="G212" s="10" t="s">
        <v>14</v>
      </c>
      <c r="H212" s="10">
        <f>MONTH(Dataset!$A212)</f>
        <v>5</v>
      </c>
      <c r="I212" s="11">
        <f>WEEKDAY(Dataset!$A212)</f>
        <v>6</v>
      </c>
      <c r="J212" s="12">
        <f>Dataset!$D212-Dataset!$C212</f>
        <v>-43.9</v>
      </c>
    </row>
    <row r="213" spans="1:10" x14ac:dyDescent="0.25">
      <c r="A213" s="13">
        <v>44330</v>
      </c>
      <c r="B213" s="14" t="s">
        <v>29</v>
      </c>
      <c r="C213" s="14">
        <v>101.80000000000001</v>
      </c>
      <c r="D213" s="14"/>
      <c r="E213" s="14" t="s">
        <v>30</v>
      </c>
      <c r="F213" s="14" t="s">
        <v>28</v>
      </c>
      <c r="G213" s="14" t="s">
        <v>14</v>
      </c>
      <c r="H213" s="14">
        <f>MONTH(Dataset!$A213)</f>
        <v>5</v>
      </c>
      <c r="I213" s="15">
        <f>WEEKDAY(Dataset!$A213)</f>
        <v>6</v>
      </c>
      <c r="J213" s="16">
        <f>Dataset!$D213-Dataset!$C213</f>
        <v>-101.80000000000001</v>
      </c>
    </row>
    <row r="214" spans="1:10" x14ac:dyDescent="0.25">
      <c r="A214" s="9">
        <v>44330</v>
      </c>
      <c r="B214" s="10" t="s">
        <v>31</v>
      </c>
      <c r="C214" s="10">
        <v>55.9</v>
      </c>
      <c r="D214" s="10"/>
      <c r="E214" s="10" t="s">
        <v>32</v>
      </c>
      <c r="F214" s="10" t="s">
        <v>13</v>
      </c>
      <c r="G214" s="10" t="s">
        <v>14</v>
      </c>
      <c r="H214" s="10">
        <f>MONTH(Dataset!$A214)</f>
        <v>5</v>
      </c>
      <c r="I214" s="11">
        <f>WEEKDAY(Dataset!$A214)</f>
        <v>6</v>
      </c>
      <c r="J214" s="12">
        <f>Dataset!$D214-Dataset!$C214</f>
        <v>-55.9</v>
      </c>
    </row>
    <row r="215" spans="1:10" x14ac:dyDescent="0.25">
      <c r="A215" s="13">
        <v>44331</v>
      </c>
      <c r="B215" s="14" t="s">
        <v>33</v>
      </c>
      <c r="C215" s="14">
        <v>32</v>
      </c>
      <c r="D215" s="14"/>
      <c r="E215" s="14" t="s">
        <v>34</v>
      </c>
      <c r="F215" s="14" t="s">
        <v>20</v>
      </c>
      <c r="G215" s="14" t="s">
        <v>14</v>
      </c>
      <c r="H215" s="14">
        <f>MONTH(Dataset!$A215)</f>
        <v>5</v>
      </c>
      <c r="I215" s="15">
        <f>WEEKDAY(Dataset!$A215)</f>
        <v>7</v>
      </c>
      <c r="J215" s="16">
        <f>Dataset!$D215-Dataset!$C215</f>
        <v>-32</v>
      </c>
    </row>
    <row r="216" spans="1:10" x14ac:dyDescent="0.25">
      <c r="A216" s="9">
        <v>44332</v>
      </c>
      <c r="B216" s="10" t="s">
        <v>35</v>
      </c>
      <c r="C216" s="10"/>
      <c r="D216" s="10">
        <v>1000</v>
      </c>
      <c r="E216" s="10" t="s">
        <v>36</v>
      </c>
      <c r="F216" s="10" t="s">
        <v>37</v>
      </c>
      <c r="G216" s="10" t="s">
        <v>10</v>
      </c>
      <c r="H216" s="10">
        <f>MONTH(Dataset!$A216)</f>
        <v>5</v>
      </c>
      <c r="I216" s="11">
        <f>WEEKDAY(Dataset!$A216)</f>
        <v>1</v>
      </c>
      <c r="J216" s="12">
        <f>Dataset!$D216-Dataset!$C216</f>
        <v>1000</v>
      </c>
    </row>
    <row r="217" spans="1:10" x14ac:dyDescent="0.25">
      <c r="A217" s="13">
        <v>44332</v>
      </c>
      <c r="B217" s="14" t="s">
        <v>11</v>
      </c>
      <c r="C217" s="14">
        <v>5</v>
      </c>
      <c r="D217" s="14"/>
      <c r="E217" s="14" t="s">
        <v>12</v>
      </c>
      <c r="F217" s="14" t="s">
        <v>13</v>
      </c>
      <c r="G217" s="14" t="s">
        <v>14</v>
      </c>
      <c r="H217" s="14">
        <f>MONTH(Dataset!$A217)</f>
        <v>5</v>
      </c>
      <c r="I217" s="15">
        <f>WEEKDAY(Dataset!$A217)</f>
        <v>1</v>
      </c>
      <c r="J217" s="16">
        <f>Dataset!$D217-Dataset!$C217</f>
        <v>-5</v>
      </c>
    </row>
    <row r="218" spans="1:10" x14ac:dyDescent="0.25">
      <c r="A218" s="9">
        <v>44333</v>
      </c>
      <c r="B218" s="10" t="s">
        <v>11</v>
      </c>
      <c r="C218" s="10">
        <v>5</v>
      </c>
      <c r="D218" s="10"/>
      <c r="E218" s="10" t="s">
        <v>12</v>
      </c>
      <c r="F218" s="10" t="s">
        <v>13</v>
      </c>
      <c r="G218" s="10" t="s">
        <v>14</v>
      </c>
      <c r="H218" s="10">
        <f>MONTH(Dataset!$A218)</f>
        <v>5</v>
      </c>
      <c r="I218" s="11">
        <f>WEEKDAY(Dataset!$A218)</f>
        <v>2</v>
      </c>
      <c r="J218" s="12">
        <f>Dataset!$D218-Dataset!$C218</f>
        <v>-5</v>
      </c>
    </row>
    <row r="219" spans="1:10" x14ac:dyDescent="0.25">
      <c r="A219" s="13">
        <v>44333</v>
      </c>
      <c r="B219" s="14" t="s">
        <v>52</v>
      </c>
      <c r="C219" s="14">
        <v>75</v>
      </c>
      <c r="D219" s="14"/>
      <c r="E219" s="14" t="s">
        <v>53</v>
      </c>
      <c r="F219" s="14" t="s">
        <v>54</v>
      </c>
      <c r="G219" s="14" t="s">
        <v>14</v>
      </c>
      <c r="H219" s="14">
        <f>MONTH(Dataset!$A219)</f>
        <v>5</v>
      </c>
      <c r="I219" s="15">
        <f>WEEKDAY(Dataset!$A219)</f>
        <v>2</v>
      </c>
      <c r="J219" s="16">
        <f>Dataset!$D219-Dataset!$C219</f>
        <v>-75</v>
      </c>
    </row>
    <row r="220" spans="1:10" x14ac:dyDescent="0.25">
      <c r="A220" s="9">
        <v>44333</v>
      </c>
      <c r="B220" s="10" t="s">
        <v>39</v>
      </c>
      <c r="C220" s="10">
        <v>40</v>
      </c>
      <c r="D220" s="10"/>
      <c r="E220" s="10" t="s">
        <v>39</v>
      </c>
      <c r="F220" s="10" t="s">
        <v>17</v>
      </c>
      <c r="G220" s="10" t="s">
        <v>14</v>
      </c>
      <c r="H220" s="10">
        <f>MONTH(Dataset!$A220)</f>
        <v>5</v>
      </c>
      <c r="I220" s="11">
        <f>WEEKDAY(Dataset!$A220)</f>
        <v>2</v>
      </c>
      <c r="J220" s="12">
        <f>Dataset!$D220-Dataset!$C220</f>
        <v>-40</v>
      </c>
    </row>
    <row r="221" spans="1:10" x14ac:dyDescent="0.25">
      <c r="A221" s="13">
        <v>44334</v>
      </c>
      <c r="B221" s="14" t="s">
        <v>40</v>
      </c>
      <c r="C221" s="14">
        <v>49</v>
      </c>
      <c r="D221" s="14"/>
      <c r="E221" s="14" t="s">
        <v>41</v>
      </c>
      <c r="F221" s="14" t="s">
        <v>28</v>
      </c>
      <c r="G221" s="14" t="s">
        <v>14</v>
      </c>
      <c r="H221" s="14">
        <f>MONTH(Dataset!$A221)</f>
        <v>5</v>
      </c>
      <c r="I221" s="15">
        <f>WEEKDAY(Dataset!$A221)</f>
        <v>3</v>
      </c>
      <c r="J221" s="16">
        <f>Dataset!$D221-Dataset!$C221</f>
        <v>-49</v>
      </c>
    </row>
    <row r="222" spans="1:10" x14ac:dyDescent="0.25">
      <c r="A222" s="9">
        <v>44334</v>
      </c>
      <c r="B222" s="10" t="s">
        <v>42</v>
      </c>
      <c r="C222" s="10">
        <v>35</v>
      </c>
      <c r="D222" s="10"/>
      <c r="E222" s="10" t="s">
        <v>27</v>
      </c>
      <c r="F222" s="10" t="s">
        <v>28</v>
      </c>
      <c r="G222" s="10" t="s">
        <v>14</v>
      </c>
      <c r="H222" s="10">
        <f>MONTH(Dataset!$A222)</f>
        <v>5</v>
      </c>
      <c r="I222" s="11">
        <f>WEEKDAY(Dataset!$A222)</f>
        <v>3</v>
      </c>
      <c r="J222" s="12">
        <f>Dataset!$D222-Dataset!$C222</f>
        <v>-35</v>
      </c>
    </row>
    <row r="223" spans="1:10" x14ac:dyDescent="0.25">
      <c r="A223" s="13">
        <v>44334</v>
      </c>
      <c r="B223" s="14" t="s">
        <v>11</v>
      </c>
      <c r="C223" s="14">
        <v>5</v>
      </c>
      <c r="D223" s="14"/>
      <c r="E223" s="14" t="s">
        <v>12</v>
      </c>
      <c r="F223" s="14" t="s">
        <v>13</v>
      </c>
      <c r="G223" s="14" t="s">
        <v>14</v>
      </c>
      <c r="H223" s="14">
        <f>MONTH(Dataset!$A223)</f>
        <v>5</v>
      </c>
      <c r="I223" s="15">
        <f>WEEKDAY(Dataset!$A223)</f>
        <v>3</v>
      </c>
      <c r="J223" s="16">
        <f>Dataset!$D223-Dataset!$C223</f>
        <v>-5</v>
      </c>
    </row>
    <row r="224" spans="1:10" x14ac:dyDescent="0.25">
      <c r="A224" s="9">
        <v>44335</v>
      </c>
      <c r="B224" s="10" t="s">
        <v>11</v>
      </c>
      <c r="C224" s="10">
        <v>5</v>
      </c>
      <c r="D224" s="10"/>
      <c r="E224" s="10" t="s">
        <v>12</v>
      </c>
      <c r="F224" s="10" t="s">
        <v>13</v>
      </c>
      <c r="G224" s="10" t="s">
        <v>14</v>
      </c>
      <c r="H224" s="10">
        <f>MONTH(Dataset!$A224)</f>
        <v>5</v>
      </c>
      <c r="I224" s="11">
        <f>WEEKDAY(Dataset!$A224)</f>
        <v>4</v>
      </c>
      <c r="J224" s="12">
        <f>Dataset!$D224-Dataset!$C224</f>
        <v>-5</v>
      </c>
    </row>
    <row r="225" spans="1:10" x14ac:dyDescent="0.25">
      <c r="A225" s="13">
        <v>44336</v>
      </c>
      <c r="B225" s="14" t="s">
        <v>11</v>
      </c>
      <c r="C225" s="14">
        <v>5</v>
      </c>
      <c r="D225" s="14"/>
      <c r="E225" s="14" t="s">
        <v>12</v>
      </c>
      <c r="F225" s="14" t="s">
        <v>13</v>
      </c>
      <c r="G225" s="14" t="s">
        <v>14</v>
      </c>
      <c r="H225" s="14">
        <f>MONTH(Dataset!$A225)</f>
        <v>5</v>
      </c>
      <c r="I225" s="15">
        <f>WEEKDAY(Dataset!$A225)</f>
        <v>5</v>
      </c>
      <c r="J225" s="16">
        <f>Dataset!$D225-Dataset!$C225</f>
        <v>-5</v>
      </c>
    </row>
    <row r="226" spans="1:10" x14ac:dyDescent="0.25">
      <c r="A226" s="9">
        <v>44336</v>
      </c>
      <c r="B226" s="10" t="s">
        <v>21</v>
      </c>
      <c r="C226" s="10">
        <v>174</v>
      </c>
      <c r="D226" s="10"/>
      <c r="E226" s="10" t="s">
        <v>22</v>
      </c>
      <c r="F226" s="10" t="s">
        <v>17</v>
      </c>
      <c r="G226" s="10" t="s">
        <v>14</v>
      </c>
      <c r="H226" s="10">
        <f>MONTH(Dataset!$A226)</f>
        <v>5</v>
      </c>
      <c r="I226" s="11">
        <f>WEEKDAY(Dataset!$A226)</f>
        <v>5</v>
      </c>
      <c r="J226" s="12">
        <f>Dataset!$D226-Dataset!$C226</f>
        <v>-174</v>
      </c>
    </row>
    <row r="227" spans="1:10" x14ac:dyDescent="0.25">
      <c r="A227" s="13">
        <v>44337</v>
      </c>
      <c r="B227" s="14" t="s">
        <v>43</v>
      </c>
      <c r="C227" s="14">
        <v>41.1</v>
      </c>
      <c r="D227" s="14"/>
      <c r="E227" s="14" t="s">
        <v>32</v>
      </c>
      <c r="F227" s="14" t="s">
        <v>13</v>
      </c>
      <c r="G227" s="14" t="s">
        <v>14</v>
      </c>
      <c r="H227" s="14">
        <f>MONTH(Dataset!$A227)</f>
        <v>5</v>
      </c>
      <c r="I227" s="15">
        <f>WEEKDAY(Dataset!$A227)</f>
        <v>6</v>
      </c>
      <c r="J227" s="16">
        <f>Dataset!$D227-Dataset!$C227</f>
        <v>-41.1</v>
      </c>
    </row>
    <row r="228" spans="1:10" x14ac:dyDescent="0.25">
      <c r="A228" s="9">
        <v>44338</v>
      </c>
      <c r="B228" s="10" t="s">
        <v>44</v>
      </c>
      <c r="C228" s="10">
        <v>16.2</v>
      </c>
      <c r="D228" s="10"/>
      <c r="E228" s="10" t="s">
        <v>32</v>
      </c>
      <c r="F228" s="10" t="s">
        <v>13</v>
      </c>
      <c r="G228" s="10" t="s">
        <v>14</v>
      </c>
      <c r="H228" s="10">
        <f>MONTH(Dataset!$A228)</f>
        <v>5</v>
      </c>
      <c r="I228" s="11">
        <f>WEEKDAY(Dataset!$A228)</f>
        <v>7</v>
      </c>
      <c r="J228" s="12">
        <f>Dataset!$D228-Dataset!$C228</f>
        <v>-16.2</v>
      </c>
    </row>
    <row r="229" spans="1:10" x14ac:dyDescent="0.25">
      <c r="A229" s="13">
        <v>44339</v>
      </c>
      <c r="B229" s="14" t="s">
        <v>45</v>
      </c>
      <c r="C229" s="14">
        <v>55</v>
      </c>
      <c r="D229" s="14"/>
      <c r="E229" s="14" t="s">
        <v>46</v>
      </c>
      <c r="F229" s="14" t="s">
        <v>47</v>
      </c>
      <c r="G229" s="14" t="s">
        <v>14</v>
      </c>
      <c r="H229" s="14">
        <f>MONTH(Dataset!$A229)</f>
        <v>5</v>
      </c>
      <c r="I229" s="15">
        <f>WEEKDAY(Dataset!$A229)</f>
        <v>1</v>
      </c>
      <c r="J229" s="16">
        <f>Dataset!$D229-Dataset!$C229</f>
        <v>-55</v>
      </c>
    </row>
    <row r="230" spans="1:10" x14ac:dyDescent="0.25">
      <c r="A230" s="9">
        <v>44339</v>
      </c>
      <c r="B230" s="10" t="s">
        <v>25</v>
      </c>
      <c r="C230" s="10">
        <v>67</v>
      </c>
      <c r="D230" s="10"/>
      <c r="E230" s="10" t="s">
        <v>48</v>
      </c>
      <c r="F230" s="10" t="s">
        <v>20</v>
      </c>
      <c r="G230" s="10" t="s">
        <v>14</v>
      </c>
      <c r="H230" s="10">
        <f>MONTH(Dataset!$A230)</f>
        <v>5</v>
      </c>
      <c r="I230" s="11">
        <f>WEEKDAY(Dataset!$A230)</f>
        <v>1</v>
      </c>
      <c r="J230" s="12">
        <f>Dataset!$D230-Dataset!$C230</f>
        <v>-67</v>
      </c>
    </row>
    <row r="231" spans="1:10" x14ac:dyDescent="0.25">
      <c r="A231" s="13">
        <v>44339</v>
      </c>
      <c r="B231" s="14" t="s">
        <v>11</v>
      </c>
      <c r="C231" s="14">
        <v>5</v>
      </c>
      <c r="D231" s="14"/>
      <c r="E231" s="14" t="s">
        <v>12</v>
      </c>
      <c r="F231" s="14" t="s">
        <v>13</v>
      </c>
      <c r="G231" s="14" t="s">
        <v>14</v>
      </c>
      <c r="H231" s="14">
        <f>MONTH(Dataset!$A231)</f>
        <v>5</v>
      </c>
      <c r="I231" s="15">
        <f>WEEKDAY(Dataset!$A231)</f>
        <v>1</v>
      </c>
      <c r="J231" s="16">
        <f>Dataset!$D231-Dataset!$C231</f>
        <v>-5</v>
      </c>
    </row>
    <row r="232" spans="1:10" x14ac:dyDescent="0.25">
      <c r="A232" s="9">
        <v>44340</v>
      </c>
      <c r="B232" s="10" t="s">
        <v>11</v>
      </c>
      <c r="C232" s="10">
        <v>5</v>
      </c>
      <c r="D232" s="10"/>
      <c r="E232" s="10" t="s">
        <v>12</v>
      </c>
      <c r="F232" s="10" t="s">
        <v>13</v>
      </c>
      <c r="G232" s="10" t="s">
        <v>14</v>
      </c>
      <c r="H232" s="10">
        <f>MONTH(Dataset!$A232)</f>
        <v>5</v>
      </c>
      <c r="I232" s="11">
        <f>WEEKDAY(Dataset!$A232)</f>
        <v>2</v>
      </c>
      <c r="J232" s="12">
        <f>Dataset!$D232-Dataset!$C232</f>
        <v>-5</v>
      </c>
    </row>
    <row r="233" spans="1:10" x14ac:dyDescent="0.25">
      <c r="A233" s="13">
        <v>44341</v>
      </c>
      <c r="B233" s="14" t="s">
        <v>11</v>
      </c>
      <c r="C233" s="14">
        <v>5</v>
      </c>
      <c r="D233" s="14"/>
      <c r="E233" s="14" t="s">
        <v>12</v>
      </c>
      <c r="F233" s="14" t="s">
        <v>13</v>
      </c>
      <c r="G233" s="14" t="s">
        <v>14</v>
      </c>
      <c r="H233" s="14">
        <f>MONTH(Dataset!$A233)</f>
        <v>5</v>
      </c>
      <c r="I233" s="15">
        <f>WEEKDAY(Dataset!$A233)</f>
        <v>3</v>
      </c>
      <c r="J233" s="16">
        <f>Dataset!$D233-Dataset!$C233</f>
        <v>-5</v>
      </c>
    </row>
    <row r="234" spans="1:10" x14ac:dyDescent="0.25">
      <c r="A234" s="9">
        <v>44342</v>
      </c>
      <c r="B234" s="10" t="s">
        <v>11</v>
      </c>
      <c r="C234" s="10">
        <v>5</v>
      </c>
      <c r="D234" s="10"/>
      <c r="E234" s="10" t="s">
        <v>12</v>
      </c>
      <c r="F234" s="10" t="s">
        <v>13</v>
      </c>
      <c r="G234" s="10" t="s">
        <v>14</v>
      </c>
      <c r="H234" s="10">
        <f>MONTH(Dataset!$A234)</f>
        <v>5</v>
      </c>
      <c r="I234" s="11">
        <f>WEEKDAY(Dataset!$A234)</f>
        <v>4</v>
      </c>
      <c r="J234" s="12">
        <f>Dataset!$D234-Dataset!$C234</f>
        <v>-5</v>
      </c>
    </row>
    <row r="235" spans="1:10" x14ac:dyDescent="0.25">
      <c r="A235" s="13">
        <v>44343</v>
      </c>
      <c r="B235" s="14" t="s">
        <v>11</v>
      </c>
      <c r="C235" s="14">
        <v>5</v>
      </c>
      <c r="D235" s="14"/>
      <c r="E235" s="14" t="s">
        <v>12</v>
      </c>
      <c r="F235" s="14" t="s">
        <v>13</v>
      </c>
      <c r="G235" s="14" t="s">
        <v>14</v>
      </c>
      <c r="H235" s="14">
        <f>MONTH(Dataset!$A235)</f>
        <v>5</v>
      </c>
      <c r="I235" s="15">
        <f>WEEKDAY(Dataset!$A235)</f>
        <v>5</v>
      </c>
      <c r="J235" s="16">
        <f>Dataset!$D235-Dataset!$C235</f>
        <v>-5</v>
      </c>
    </row>
    <row r="236" spans="1:10" x14ac:dyDescent="0.25">
      <c r="A236" s="9">
        <v>44343</v>
      </c>
      <c r="B236" s="10" t="s">
        <v>21</v>
      </c>
      <c r="C236" s="10">
        <v>165.8</v>
      </c>
      <c r="D236" s="10"/>
      <c r="E236" s="10" t="s">
        <v>22</v>
      </c>
      <c r="F236" s="10" t="s">
        <v>17</v>
      </c>
      <c r="G236" s="10" t="s">
        <v>14</v>
      </c>
      <c r="H236" s="10">
        <f>MONTH(Dataset!$A236)</f>
        <v>5</v>
      </c>
      <c r="I236" s="11">
        <f>WEEKDAY(Dataset!$A236)</f>
        <v>5</v>
      </c>
      <c r="J236" s="12">
        <f>Dataset!$D236-Dataset!$C236</f>
        <v>-165.8</v>
      </c>
    </row>
    <row r="237" spans="1:10" x14ac:dyDescent="0.25">
      <c r="A237" s="13">
        <v>44344</v>
      </c>
      <c r="B237" s="14" t="s">
        <v>49</v>
      </c>
      <c r="C237" s="14">
        <v>128.80000000000001</v>
      </c>
      <c r="D237" s="14"/>
      <c r="E237" s="14" t="s">
        <v>30</v>
      </c>
      <c r="F237" s="14" t="s">
        <v>28</v>
      </c>
      <c r="G237" s="14" t="s">
        <v>14</v>
      </c>
      <c r="H237" s="14">
        <f>MONTH(Dataset!$A237)</f>
        <v>5</v>
      </c>
      <c r="I237" s="15">
        <f>WEEKDAY(Dataset!$A237)</f>
        <v>6</v>
      </c>
      <c r="J237" s="16">
        <f>Dataset!$D237-Dataset!$C237</f>
        <v>-128.80000000000001</v>
      </c>
    </row>
    <row r="238" spans="1:10" x14ac:dyDescent="0.25">
      <c r="A238" s="9">
        <v>44344</v>
      </c>
      <c r="B238" s="10" t="s">
        <v>58</v>
      </c>
      <c r="C238" s="10">
        <v>235</v>
      </c>
      <c r="D238" s="10"/>
      <c r="E238" s="10" t="s">
        <v>59</v>
      </c>
      <c r="F238" s="10" t="s">
        <v>28</v>
      </c>
      <c r="G238" s="10" t="s">
        <v>14</v>
      </c>
      <c r="H238" s="10">
        <f>MONTH(Dataset!$A238)</f>
        <v>5</v>
      </c>
      <c r="I238" s="11">
        <f>WEEKDAY(Dataset!$A238)</f>
        <v>6</v>
      </c>
      <c r="J238" s="12">
        <f>Dataset!$D238-Dataset!$C238</f>
        <v>-235</v>
      </c>
    </row>
    <row r="239" spans="1:10" x14ac:dyDescent="0.25">
      <c r="A239" s="13">
        <v>44345</v>
      </c>
      <c r="B239" s="14" t="s">
        <v>29</v>
      </c>
      <c r="C239" s="14">
        <v>149.19999999999999</v>
      </c>
      <c r="D239" s="14"/>
      <c r="E239" s="14" t="s">
        <v>30</v>
      </c>
      <c r="F239" s="14" t="s">
        <v>28</v>
      </c>
      <c r="G239" s="14" t="s">
        <v>14</v>
      </c>
      <c r="H239" s="14">
        <f>MONTH(Dataset!$A239)</f>
        <v>5</v>
      </c>
      <c r="I239" s="15">
        <f>WEEKDAY(Dataset!$A239)</f>
        <v>7</v>
      </c>
      <c r="J239" s="16">
        <f>Dataset!$D239-Dataset!$C239</f>
        <v>-149.19999999999999</v>
      </c>
    </row>
    <row r="240" spans="1:10" x14ac:dyDescent="0.25">
      <c r="A240" s="9">
        <v>44345</v>
      </c>
      <c r="B240" s="10" t="s">
        <v>33</v>
      </c>
      <c r="C240" s="10">
        <v>27.200000000000003</v>
      </c>
      <c r="D240" s="10"/>
      <c r="E240" s="10" t="s">
        <v>34</v>
      </c>
      <c r="F240" s="10" t="s">
        <v>20</v>
      </c>
      <c r="G240" s="10" t="s">
        <v>14</v>
      </c>
      <c r="H240" s="10">
        <f>MONTH(Dataset!$A240)</f>
        <v>5</v>
      </c>
      <c r="I240" s="11">
        <f>WEEKDAY(Dataset!$A240)</f>
        <v>7</v>
      </c>
      <c r="J240" s="12">
        <f>Dataset!$D240-Dataset!$C240</f>
        <v>-27.200000000000003</v>
      </c>
    </row>
    <row r="241" spans="1:10" x14ac:dyDescent="0.25">
      <c r="A241" s="13">
        <v>44347</v>
      </c>
      <c r="B241" s="14" t="s">
        <v>56</v>
      </c>
      <c r="C241" s="14">
        <v>15</v>
      </c>
      <c r="D241" s="14"/>
      <c r="E241" s="14" t="s">
        <v>32</v>
      </c>
      <c r="F241" s="14" t="s">
        <v>13</v>
      </c>
      <c r="G241" s="14" t="s">
        <v>14</v>
      </c>
      <c r="H241" s="14">
        <f>MONTH(Dataset!$A241)</f>
        <v>5</v>
      </c>
      <c r="I241" s="15">
        <f>WEEKDAY(Dataset!$A241)</f>
        <v>2</v>
      </c>
      <c r="J241" s="16">
        <f>Dataset!$D241-Dataset!$C241</f>
        <v>-15</v>
      </c>
    </row>
    <row r="242" spans="1:10" x14ac:dyDescent="0.25">
      <c r="A242" s="9">
        <v>44346</v>
      </c>
      <c r="B242" s="10" t="s">
        <v>11</v>
      </c>
      <c r="C242" s="10">
        <v>5</v>
      </c>
      <c r="D242" s="10"/>
      <c r="E242" s="10" t="s">
        <v>12</v>
      </c>
      <c r="F242" s="10" t="s">
        <v>13</v>
      </c>
      <c r="G242" s="10" t="s">
        <v>14</v>
      </c>
      <c r="H242" s="10">
        <f>MONTH(Dataset!$A242)</f>
        <v>5</v>
      </c>
      <c r="I242" s="11">
        <f>WEEKDAY(Dataset!$A242)</f>
        <v>1</v>
      </c>
      <c r="J242" s="12">
        <f>Dataset!$D242-Dataset!$C242</f>
        <v>-5</v>
      </c>
    </row>
    <row r="243" spans="1:10" x14ac:dyDescent="0.25">
      <c r="A243" s="13">
        <v>44347</v>
      </c>
      <c r="B243" s="14" t="s">
        <v>11</v>
      </c>
      <c r="C243" s="14">
        <v>5</v>
      </c>
      <c r="D243" s="14"/>
      <c r="E243" s="14" t="s">
        <v>12</v>
      </c>
      <c r="F243" s="14" t="s">
        <v>13</v>
      </c>
      <c r="G243" s="14" t="s">
        <v>14</v>
      </c>
      <c r="H243" s="14">
        <f>MONTH(Dataset!$A243)</f>
        <v>5</v>
      </c>
      <c r="I243" s="15">
        <f>WEEKDAY(Dataset!$A243)</f>
        <v>2</v>
      </c>
      <c r="J243" s="16">
        <f>Dataset!$D243-Dataset!$C243</f>
        <v>-5</v>
      </c>
    </row>
    <row r="244" spans="1:10" x14ac:dyDescent="0.25">
      <c r="A244" s="9">
        <v>44348</v>
      </c>
      <c r="B244" s="10" t="s">
        <v>7</v>
      </c>
      <c r="C244" s="10"/>
      <c r="D244" s="10">
        <v>5000</v>
      </c>
      <c r="E244" s="10" t="s">
        <v>8</v>
      </c>
      <c r="F244" s="10" t="s">
        <v>9</v>
      </c>
      <c r="G244" s="10" t="s">
        <v>10</v>
      </c>
      <c r="H244" s="10">
        <f>MONTH(Dataset!$A244)</f>
        <v>6</v>
      </c>
      <c r="I244" s="11">
        <f>WEEKDAY(Dataset!$A244)</f>
        <v>3</v>
      </c>
      <c r="J244" s="12">
        <f>Dataset!$D244-Dataset!$C244</f>
        <v>5000</v>
      </c>
    </row>
    <row r="245" spans="1:10" x14ac:dyDescent="0.25">
      <c r="A245" s="13">
        <v>44350</v>
      </c>
      <c r="B245" s="14" t="s">
        <v>11</v>
      </c>
      <c r="C245" s="14">
        <v>5</v>
      </c>
      <c r="D245" s="14"/>
      <c r="E245" s="14" t="s">
        <v>12</v>
      </c>
      <c r="F245" s="14" t="s">
        <v>13</v>
      </c>
      <c r="G245" s="14" t="s">
        <v>14</v>
      </c>
      <c r="H245" s="14">
        <f>MONTH(Dataset!$A245)</f>
        <v>6</v>
      </c>
      <c r="I245" s="15">
        <f>WEEKDAY(Dataset!$A245)</f>
        <v>5</v>
      </c>
      <c r="J245" s="16">
        <f>Dataset!$D245-Dataset!$C245</f>
        <v>-5</v>
      </c>
    </row>
    <row r="246" spans="1:10" x14ac:dyDescent="0.25">
      <c r="A246" s="9">
        <v>44350</v>
      </c>
      <c r="B246" s="10" t="s">
        <v>15</v>
      </c>
      <c r="C246" s="10">
        <v>900</v>
      </c>
      <c r="D246" s="10"/>
      <c r="E246" s="10" t="s">
        <v>16</v>
      </c>
      <c r="F246" s="10" t="s">
        <v>17</v>
      </c>
      <c r="G246" s="10" t="s">
        <v>14</v>
      </c>
      <c r="H246" s="10">
        <f>MONTH(Dataset!$A246)</f>
        <v>6</v>
      </c>
      <c r="I246" s="11">
        <f>WEEKDAY(Dataset!$A246)</f>
        <v>5</v>
      </c>
      <c r="J246" s="12">
        <f>Dataset!$D246-Dataset!$C246</f>
        <v>-900</v>
      </c>
    </row>
    <row r="247" spans="1:10" x14ac:dyDescent="0.25">
      <c r="A247" s="13">
        <v>44350</v>
      </c>
      <c r="B247" s="14" t="s">
        <v>18</v>
      </c>
      <c r="C247" s="14">
        <v>150</v>
      </c>
      <c r="D247" s="14"/>
      <c r="E247" s="14" t="s">
        <v>19</v>
      </c>
      <c r="F247" s="14" t="s">
        <v>20</v>
      </c>
      <c r="G247" s="14" t="s">
        <v>14</v>
      </c>
      <c r="H247" s="14">
        <f>MONTH(Dataset!$A247)</f>
        <v>6</v>
      </c>
      <c r="I247" s="15">
        <f>WEEKDAY(Dataset!$A247)</f>
        <v>5</v>
      </c>
      <c r="J247" s="16">
        <f>Dataset!$D247-Dataset!$C247</f>
        <v>-150</v>
      </c>
    </row>
    <row r="248" spans="1:10" x14ac:dyDescent="0.25">
      <c r="A248" s="9">
        <v>44350</v>
      </c>
      <c r="B248" s="10" t="s">
        <v>11</v>
      </c>
      <c r="C248" s="10">
        <v>5</v>
      </c>
      <c r="D248" s="10"/>
      <c r="E248" s="10" t="s">
        <v>12</v>
      </c>
      <c r="F248" s="10" t="s">
        <v>13</v>
      </c>
      <c r="G248" s="10" t="s">
        <v>14</v>
      </c>
      <c r="H248" s="10">
        <f>MONTH(Dataset!$A248)</f>
        <v>6</v>
      </c>
      <c r="I248" s="11">
        <f>WEEKDAY(Dataset!$A248)</f>
        <v>5</v>
      </c>
      <c r="J248" s="12">
        <f>Dataset!$D248-Dataset!$C248</f>
        <v>-5</v>
      </c>
    </row>
    <row r="249" spans="1:10" x14ac:dyDescent="0.25">
      <c r="A249" s="13">
        <v>44351</v>
      </c>
      <c r="B249" s="14" t="s">
        <v>11</v>
      </c>
      <c r="C249" s="14">
        <v>5</v>
      </c>
      <c r="D249" s="14"/>
      <c r="E249" s="14" t="s">
        <v>12</v>
      </c>
      <c r="F249" s="14" t="s">
        <v>13</v>
      </c>
      <c r="G249" s="14" t="s">
        <v>14</v>
      </c>
      <c r="H249" s="14">
        <f>MONTH(Dataset!$A249)</f>
        <v>6</v>
      </c>
      <c r="I249" s="15">
        <f>WEEKDAY(Dataset!$A249)</f>
        <v>6</v>
      </c>
      <c r="J249" s="16">
        <f>Dataset!$D249-Dataset!$C249</f>
        <v>-5</v>
      </c>
    </row>
    <row r="250" spans="1:10" x14ac:dyDescent="0.25">
      <c r="A250" s="9">
        <v>44352</v>
      </c>
      <c r="B250" s="10" t="s">
        <v>11</v>
      </c>
      <c r="C250" s="10">
        <v>5</v>
      </c>
      <c r="D250" s="10"/>
      <c r="E250" s="10" t="s">
        <v>12</v>
      </c>
      <c r="F250" s="10" t="s">
        <v>13</v>
      </c>
      <c r="G250" s="10" t="s">
        <v>14</v>
      </c>
      <c r="H250" s="10">
        <f>MONTH(Dataset!$A250)</f>
        <v>6</v>
      </c>
      <c r="I250" s="11">
        <f>WEEKDAY(Dataset!$A250)</f>
        <v>7</v>
      </c>
      <c r="J250" s="12">
        <f>Dataset!$D250-Dataset!$C250</f>
        <v>-5</v>
      </c>
    </row>
    <row r="251" spans="1:10" x14ac:dyDescent="0.25">
      <c r="A251" s="13">
        <v>44353</v>
      </c>
      <c r="B251" s="14" t="s">
        <v>11</v>
      </c>
      <c r="C251" s="14">
        <v>5</v>
      </c>
      <c r="D251" s="14"/>
      <c r="E251" s="14" t="s">
        <v>12</v>
      </c>
      <c r="F251" s="14" t="s">
        <v>13</v>
      </c>
      <c r="G251" s="14" t="s">
        <v>14</v>
      </c>
      <c r="H251" s="14">
        <f>MONTH(Dataset!$A251)</f>
        <v>6</v>
      </c>
      <c r="I251" s="15">
        <f>WEEKDAY(Dataset!$A251)</f>
        <v>1</v>
      </c>
      <c r="J251" s="16">
        <f>Dataset!$D251-Dataset!$C251</f>
        <v>-5</v>
      </c>
    </row>
    <row r="252" spans="1:10" x14ac:dyDescent="0.25">
      <c r="A252" s="9">
        <v>44353</v>
      </c>
      <c r="B252" s="10" t="s">
        <v>21</v>
      </c>
      <c r="C252" s="10">
        <v>119</v>
      </c>
      <c r="D252" s="10"/>
      <c r="E252" s="10" t="s">
        <v>22</v>
      </c>
      <c r="F252" s="10" t="s">
        <v>17</v>
      </c>
      <c r="G252" s="10" t="s">
        <v>14</v>
      </c>
      <c r="H252" s="10">
        <f>MONTH(Dataset!$A252)</f>
        <v>6</v>
      </c>
      <c r="I252" s="11">
        <f>WEEKDAY(Dataset!$A252)</f>
        <v>1</v>
      </c>
      <c r="J252" s="12">
        <f>Dataset!$D252-Dataset!$C252</f>
        <v>-119</v>
      </c>
    </row>
    <row r="253" spans="1:10" x14ac:dyDescent="0.25">
      <c r="A253" s="13">
        <v>44356</v>
      </c>
      <c r="B253" s="14" t="s">
        <v>23</v>
      </c>
      <c r="C253" s="14">
        <v>55</v>
      </c>
      <c r="D253" s="14"/>
      <c r="E253" s="14" t="s">
        <v>24</v>
      </c>
      <c r="F253" s="14" t="s">
        <v>17</v>
      </c>
      <c r="G253" s="14" t="s">
        <v>14</v>
      </c>
      <c r="H253" s="14">
        <f>MONTH(Dataset!$A253)</f>
        <v>6</v>
      </c>
      <c r="I253" s="15">
        <f>WEEKDAY(Dataset!$A253)</f>
        <v>4</v>
      </c>
      <c r="J253" s="16">
        <f>Dataset!$D253-Dataset!$C253</f>
        <v>-55</v>
      </c>
    </row>
    <row r="254" spans="1:10" x14ac:dyDescent="0.25">
      <c r="A254" s="9">
        <v>44356</v>
      </c>
      <c r="B254" s="10" t="s">
        <v>11</v>
      </c>
      <c r="C254" s="10">
        <v>5</v>
      </c>
      <c r="D254" s="10"/>
      <c r="E254" s="10" t="s">
        <v>12</v>
      </c>
      <c r="F254" s="10" t="s">
        <v>13</v>
      </c>
      <c r="G254" s="10" t="s">
        <v>14</v>
      </c>
      <c r="H254" s="10">
        <f>MONTH(Dataset!$A254)</f>
        <v>6</v>
      </c>
      <c r="I254" s="11">
        <f>WEEKDAY(Dataset!$A254)</f>
        <v>4</v>
      </c>
      <c r="J254" s="12">
        <f>Dataset!$D254-Dataset!$C254</f>
        <v>-5</v>
      </c>
    </row>
    <row r="255" spans="1:10" x14ac:dyDescent="0.25">
      <c r="A255" s="13">
        <v>44357</v>
      </c>
      <c r="B255" s="14" t="s">
        <v>11</v>
      </c>
      <c r="C255" s="14">
        <v>5</v>
      </c>
      <c r="D255" s="14"/>
      <c r="E255" s="14" t="s">
        <v>12</v>
      </c>
      <c r="F255" s="14" t="s">
        <v>13</v>
      </c>
      <c r="G255" s="14" t="s">
        <v>14</v>
      </c>
      <c r="H255" s="14">
        <f>MONTH(Dataset!$A255)</f>
        <v>6</v>
      </c>
      <c r="I255" s="15">
        <f>WEEKDAY(Dataset!$A255)</f>
        <v>5</v>
      </c>
      <c r="J255" s="16">
        <f>Dataset!$D255-Dataset!$C255</f>
        <v>-5</v>
      </c>
    </row>
    <row r="256" spans="1:10" x14ac:dyDescent="0.25">
      <c r="A256" s="9">
        <v>44358</v>
      </c>
      <c r="B256" s="10" t="s">
        <v>25</v>
      </c>
      <c r="C256" s="10">
        <v>82.1</v>
      </c>
      <c r="D256" s="10"/>
      <c r="E256" s="10" t="s">
        <v>48</v>
      </c>
      <c r="F256" s="10" t="s">
        <v>20</v>
      </c>
      <c r="G256" s="10" t="s">
        <v>14</v>
      </c>
      <c r="H256" s="10">
        <f>MONTH(Dataset!$A256)</f>
        <v>6</v>
      </c>
      <c r="I256" s="11">
        <f>WEEKDAY(Dataset!$A256)</f>
        <v>6</v>
      </c>
      <c r="J256" s="12">
        <f>Dataset!$D256-Dataset!$C256</f>
        <v>-82.1</v>
      </c>
    </row>
    <row r="257" spans="1:10" x14ac:dyDescent="0.25">
      <c r="A257" s="13">
        <v>44358</v>
      </c>
      <c r="B257" s="14" t="s">
        <v>11</v>
      </c>
      <c r="C257" s="14">
        <v>5</v>
      </c>
      <c r="D257" s="14"/>
      <c r="E257" s="14" t="s">
        <v>12</v>
      </c>
      <c r="F257" s="14" t="s">
        <v>13</v>
      </c>
      <c r="G257" s="14" t="s">
        <v>14</v>
      </c>
      <c r="H257" s="14">
        <f>MONTH(Dataset!$A257)</f>
        <v>6</v>
      </c>
      <c r="I257" s="15">
        <f>WEEKDAY(Dataset!$A257)</f>
        <v>6</v>
      </c>
      <c r="J257" s="16">
        <f>Dataset!$D257-Dataset!$C257</f>
        <v>-5</v>
      </c>
    </row>
    <row r="258" spans="1:10" x14ac:dyDescent="0.25">
      <c r="A258" s="9">
        <v>44359</v>
      </c>
      <c r="B258" s="10" t="s">
        <v>11</v>
      </c>
      <c r="C258" s="10">
        <v>5</v>
      </c>
      <c r="D258" s="10"/>
      <c r="E258" s="10" t="s">
        <v>12</v>
      </c>
      <c r="F258" s="10" t="s">
        <v>13</v>
      </c>
      <c r="G258" s="10" t="s">
        <v>14</v>
      </c>
      <c r="H258" s="10">
        <f>MONTH(Dataset!$A258)</f>
        <v>6</v>
      </c>
      <c r="I258" s="11">
        <f>WEEKDAY(Dataset!$A258)</f>
        <v>7</v>
      </c>
      <c r="J258" s="12">
        <f>Dataset!$D258-Dataset!$C258</f>
        <v>-5</v>
      </c>
    </row>
    <row r="259" spans="1:10" x14ac:dyDescent="0.25">
      <c r="A259" s="13">
        <v>44360</v>
      </c>
      <c r="B259" s="14" t="s">
        <v>21</v>
      </c>
      <c r="C259" s="14">
        <v>140.19999999999999</v>
      </c>
      <c r="D259" s="14"/>
      <c r="E259" s="14" t="s">
        <v>22</v>
      </c>
      <c r="F259" s="14" t="s">
        <v>17</v>
      </c>
      <c r="G259" s="14" t="s">
        <v>14</v>
      </c>
      <c r="H259" s="14">
        <f>MONTH(Dataset!$A259)</f>
        <v>6</v>
      </c>
      <c r="I259" s="15">
        <f>WEEKDAY(Dataset!$A259)</f>
        <v>1</v>
      </c>
      <c r="J259" s="16">
        <f>Dataset!$D259-Dataset!$C259</f>
        <v>-140.19999999999999</v>
      </c>
    </row>
    <row r="260" spans="1:10" x14ac:dyDescent="0.25">
      <c r="A260" s="9">
        <v>44360</v>
      </c>
      <c r="B260" s="10" t="s">
        <v>11</v>
      </c>
      <c r="C260" s="10">
        <v>5</v>
      </c>
      <c r="D260" s="10"/>
      <c r="E260" s="10" t="s">
        <v>12</v>
      </c>
      <c r="F260" s="10" t="s">
        <v>13</v>
      </c>
      <c r="G260" s="10" t="s">
        <v>14</v>
      </c>
      <c r="H260" s="10">
        <f>MONTH(Dataset!$A260)</f>
        <v>6</v>
      </c>
      <c r="I260" s="11">
        <f>WEEKDAY(Dataset!$A260)</f>
        <v>1</v>
      </c>
      <c r="J260" s="12">
        <f>Dataset!$D260-Dataset!$C260</f>
        <v>-5</v>
      </c>
    </row>
    <row r="261" spans="1:10" x14ac:dyDescent="0.25">
      <c r="A261" s="13">
        <v>44361</v>
      </c>
      <c r="B261" s="14" t="s">
        <v>11</v>
      </c>
      <c r="C261" s="14">
        <v>5</v>
      </c>
      <c r="D261" s="14"/>
      <c r="E261" s="14" t="s">
        <v>12</v>
      </c>
      <c r="F261" s="14" t="s">
        <v>13</v>
      </c>
      <c r="G261" s="14" t="s">
        <v>14</v>
      </c>
      <c r="H261" s="14">
        <f>MONTH(Dataset!$A261)</f>
        <v>6</v>
      </c>
      <c r="I261" s="15">
        <f>WEEKDAY(Dataset!$A261)</f>
        <v>2</v>
      </c>
      <c r="J261" s="16">
        <f>Dataset!$D261-Dataset!$C261</f>
        <v>-5</v>
      </c>
    </row>
    <row r="262" spans="1:10" x14ac:dyDescent="0.25">
      <c r="A262" s="9">
        <v>44361</v>
      </c>
      <c r="B262" s="10" t="s">
        <v>26</v>
      </c>
      <c r="C262" s="10">
        <v>44.9</v>
      </c>
      <c r="D262" s="10"/>
      <c r="E262" s="10" t="s">
        <v>27</v>
      </c>
      <c r="F262" s="10" t="s">
        <v>28</v>
      </c>
      <c r="G262" s="10" t="s">
        <v>14</v>
      </c>
      <c r="H262" s="10">
        <f>MONTH(Dataset!$A262)</f>
        <v>6</v>
      </c>
      <c r="I262" s="11">
        <f>WEEKDAY(Dataset!$A262)</f>
        <v>2</v>
      </c>
      <c r="J262" s="12">
        <f>Dataset!$D262-Dataset!$C262</f>
        <v>-44.9</v>
      </c>
    </row>
    <row r="263" spans="1:10" x14ac:dyDescent="0.25">
      <c r="A263" s="13">
        <v>44361</v>
      </c>
      <c r="B263" s="14" t="s">
        <v>29</v>
      </c>
      <c r="C263" s="14">
        <v>102.9</v>
      </c>
      <c r="D263" s="14"/>
      <c r="E263" s="14" t="s">
        <v>30</v>
      </c>
      <c r="F263" s="14" t="s">
        <v>28</v>
      </c>
      <c r="G263" s="14" t="s">
        <v>14</v>
      </c>
      <c r="H263" s="14">
        <f>MONTH(Dataset!$A263)</f>
        <v>6</v>
      </c>
      <c r="I263" s="15">
        <f>WEEKDAY(Dataset!$A263)</f>
        <v>2</v>
      </c>
      <c r="J263" s="16">
        <f>Dataset!$D263-Dataset!$C263</f>
        <v>-102.9</v>
      </c>
    </row>
    <row r="264" spans="1:10" x14ac:dyDescent="0.25">
      <c r="A264" s="9">
        <v>44361</v>
      </c>
      <c r="B264" s="10" t="s">
        <v>31</v>
      </c>
      <c r="C264" s="10">
        <v>56.9</v>
      </c>
      <c r="D264" s="10"/>
      <c r="E264" s="10" t="s">
        <v>32</v>
      </c>
      <c r="F264" s="10" t="s">
        <v>13</v>
      </c>
      <c r="G264" s="10" t="s">
        <v>14</v>
      </c>
      <c r="H264" s="10">
        <f>MONTH(Dataset!$A264)</f>
        <v>6</v>
      </c>
      <c r="I264" s="11">
        <f>WEEKDAY(Dataset!$A264)</f>
        <v>2</v>
      </c>
      <c r="J264" s="12">
        <f>Dataset!$D264-Dataset!$C264</f>
        <v>-56.9</v>
      </c>
    </row>
    <row r="265" spans="1:10" x14ac:dyDescent="0.25">
      <c r="A265" s="13">
        <v>44362</v>
      </c>
      <c r="B265" s="14" t="s">
        <v>33</v>
      </c>
      <c r="C265" s="14">
        <v>33.1</v>
      </c>
      <c r="D265" s="14"/>
      <c r="E265" s="14" t="s">
        <v>34</v>
      </c>
      <c r="F265" s="14" t="s">
        <v>20</v>
      </c>
      <c r="G265" s="14" t="s">
        <v>14</v>
      </c>
      <c r="H265" s="14">
        <f>MONTH(Dataset!$A265)</f>
        <v>6</v>
      </c>
      <c r="I265" s="15">
        <f>WEEKDAY(Dataset!$A265)</f>
        <v>3</v>
      </c>
      <c r="J265" s="16">
        <f>Dataset!$D265-Dataset!$C265</f>
        <v>-33.1</v>
      </c>
    </row>
    <row r="266" spans="1:10" x14ac:dyDescent="0.25">
      <c r="A266" s="9">
        <v>44363</v>
      </c>
      <c r="B266" s="10" t="s">
        <v>35</v>
      </c>
      <c r="C266" s="10"/>
      <c r="D266" s="10">
        <v>100</v>
      </c>
      <c r="E266" s="10" t="s">
        <v>36</v>
      </c>
      <c r="F266" s="10" t="s">
        <v>37</v>
      </c>
      <c r="G266" s="10" t="s">
        <v>10</v>
      </c>
      <c r="H266" s="10">
        <f>MONTH(Dataset!$A266)</f>
        <v>6</v>
      </c>
      <c r="I266" s="11">
        <f>WEEKDAY(Dataset!$A266)</f>
        <v>4</v>
      </c>
      <c r="J266" s="12">
        <f>Dataset!$D266-Dataset!$C266</f>
        <v>100</v>
      </c>
    </row>
    <row r="267" spans="1:10" x14ac:dyDescent="0.25">
      <c r="A267" s="13">
        <v>44363</v>
      </c>
      <c r="B267" s="14" t="s">
        <v>11</v>
      </c>
      <c r="C267" s="14">
        <v>5</v>
      </c>
      <c r="D267" s="14"/>
      <c r="E267" s="14" t="s">
        <v>12</v>
      </c>
      <c r="F267" s="14" t="s">
        <v>13</v>
      </c>
      <c r="G267" s="14" t="s">
        <v>14</v>
      </c>
      <c r="H267" s="14">
        <f>MONTH(Dataset!$A267)</f>
        <v>6</v>
      </c>
      <c r="I267" s="15">
        <f>WEEKDAY(Dataset!$A267)</f>
        <v>4</v>
      </c>
      <c r="J267" s="16">
        <f>Dataset!$D267-Dataset!$C267</f>
        <v>-5</v>
      </c>
    </row>
    <row r="268" spans="1:10" x14ac:dyDescent="0.25">
      <c r="A268" s="9">
        <v>44364</v>
      </c>
      <c r="B268" s="10" t="s">
        <v>11</v>
      </c>
      <c r="C268" s="10">
        <v>5</v>
      </c>
      <c r="D268" s="10"/>
      <c r="E268" s="10" t="s">
        <v>12</v>
      </c>
      <c r="F268" s="10" t="s">
        <v>13</v>
      </c>
      <c r="G268" s="10" t="s">
        <v>14</v>
      </c>
      <c r="H268" s="10">
        <f>MONTH(Dataset!$A268)</f>
        <v>6</v>
      </c>
      <c r="I268" s="11">
        <f>WEEKDAY(Dataset!$A268)</f>
        <v>5</v>
      </c>
      <c r="J268" s="12">
        <f>Dataset!$D268-Dataset!$C268</f>
        <v>-5</v>
      </c>
    </row>
    <row r="269" spans="1:10" x14ac:dyDescent="0.25">
      <c r="A269" s="13">
        <v>44364</v>
      </c>
      <c r="B269" s="14" t="s">
        <v>39</v>
      </c>
      <c r="C269" s="14">
        <v>40</v>
      </c>
      <c r="D269" s="14"/>
      <c r="E269" s="14" t="s">
        <v>39</v>
      </c>
      <c r="F269" s="14" t="s">
        <v>17</v>
      </c>
      <c r="G269" s="14" t="s">
        <v>14</v>
      </c>
      <c r="H269" s="14">
        <f>MONTH(Dataset!$A269)</f>
        <v>6</v>
      </c>
      <c r="I269" s="15">
        <f>WEEKDAY(Dataset!$A269)</f>
        <v>5</v>
      </c>
      <c r="J269" s="16">
        <f>Dataset!$D269-Dataset!$C269</f>
        <v>-40</v>
      </c>
    </row>
    <row r="270" spans="1:10" x14ac:dyDescent="0.25">
      <c r="A270" s="9">
        <v>44365</v>
      </c>
      <c r="B270" s="10" t="s">
        <v>40</v>
      </c>
      <c r="C270" s="10">
        <v>50.1</v>
      </c>
      <c r="D270" s="10"/>
      <c r="E270" s="10" t="s">
        <v>41</v>
      </c>
      <c r="F270" s="10" t="s">
        <v>28</v>
      </c>
      <c r="G270" s="10" t="s">
        <v>14</v>
      </c>
      <c r="H270" s="10">
        <f>MONTH(Dataset!$A270)</f>
        <v>6</v>
      </c>
      <c r="I270" s="11">
        <f>WEEKDAY(Dataset!$A270)</f>
        <v>6</v>
      </c>
      <c r="J270" s="12">
        <f>Dataset!$D270-Dataset!$C270</f>
        <v>-50.1</v>
      </c>
    </row>
    <row r="271" spans="1:10" x14ac:dyDescent="0.25">
      <c r="A271" s="13">
        <v>44365</v>
      </c>
      <c r="B271" s="14" t="s">
        <v>42</v>
      </c>
      <c r="C271" s="14">
        <v>35</v>
      </c>
      <c r="D271" s="14"/>
      <c r="E271" s="14" t="s">
        <v>27</v>
      </c>
      <c r="F271" s="14" t="s">
        <v>28</v>
      </c>
      <c r="G271" s="14" t="s">
        <v>14</v>
      </c>
      <c r="H271" s="14">
        <f>MONTH(Dataset!$A271)</f>
        <v>6</v>
      </c>
      <c r="I271" s="15">
        <f>WEEKDAY(Dataset!$A271)</f>
        <v>6</v>
      </c>
      <c r="J271" s="16">
        <f>Dataset!$D271-Dataset!$C271</f>
        <v>-35</v>
      </c>
    </row>
    <row r="272" spans="1:10" x14ac:dyDescent="0.25">
      <c r="A272" s="9">
        <v>44365</v>
      </c>
      <c r="B272" s="10" t="s">
        <v>11</v>
      </c>
      <c r="C272" s="10">
        <v>5</v>
      </c>
      <c r="D272" s="10"/>
      <c r="E272" s="10" t="s">
        <v>12</v>
      </c>
      <c r="F272" s="10" t="s">
        <v>13</v>
      </c>
      <c r="G272" s="10" t="s">
        <v>14</v>
      </c>
      <c r="H272" s="10">
        <f>MONTH(Dataset!$A272)</f>
        <v>6</v>
      </c>
      <c r="I272" s="11">
        <f>WEEKDAY(Dataset!$A272)</f>
        <v>6</v>
      </c>
      <c r="J272" s="12">
        <f>Dataset!$D272-Dataset!$C272</f>
        <v>-5</v>
      </c>
    </row>
    <row r="273" spans="1:10" x14ac:dyDescent="0.25">
      <c r="A273" s="13">
        <v>44366</v>
      </c>
      <c r="B273" s="14" t="s">
        <v>11</v>
      </c>
      <c r="C273" s="14">
        <v>5</v>
      </c>
      <c r="D273" s="14"/>
      <c r="E273" s="14" t="s">
        <v>12</v>
      </c>
      <c r="F273" s="14" t="s">
        <v>13</v>
      </c>
      <c r="G273" s="14" t="s">
        <v>14</v>
      </c>
      <c r="H273" s="14">
        <f>MONTH(Dataset!$A273)</f>
        <v>6</v>
      </c>
      <c r="I273" s="15">
        <f>WEEKDAY(Dataset!$A273)</f>
        <v>7</v>
      </c>
      <c r="J273" s="16">
        <f>Dataset!$D273-Dataset!$C273</f>
        <v>-5</v>
      </c>
    </row>
    <row r="274" spans="1:10" x14ac:dyDescent="0.25">
      <c r="A274" s="9">
        <v>44367</v>
      </c>
      <c r="B274" s="10" t="s">
        <v>11</v>
      </c>
      <c r="C274" s="10">
        <v>5</v>
      </c>
      <c r="D274" s="10"/>
      <c r="E274" s="10" t="s">
        <v>12</v>
      </c>
      <c r="F274" s="10" t="s">
        <v>13</v>
      </c>
      <c r="G274" s="10" t="s">
        <v>14</v>
      </c>
      <c r="H274" s="10">
        <f>MONTH(Dataset!$A274)</f>
        <v>6</v>
      </c>
      <c r="I274" s="11">
        <f>WEEKDAY(Dataset!$A274)</f>
        <v>1</v>
      </c>
      <c r="J274" s="12">
        <f>Dataset!$D274-Dataset!$C274</f>
        <v>-5</v>
      </c>
    </row>
    <row r="275" spans="1:10" x14ac:dyDescent="0.25">
      <c r="A275" s="13">
        <v>44367</v>
      </c>
      <c r="B275" s="14" t="s">
        <v>21</v>
      </c>
      <c r="C275" s="14">
        <v>234</v>
      </c>
      <c r="D275" s="14"/>
      <c r="E275" s="14" t="s">
        <v>22</v>
      </c>
      <c r="F275" s="14" t="s">
        <v>17</v>
      </c>
      <c r="G275" s="14" t="s">
        <v>14</v>
      </c>
      <c r="H275" s="14">
        <f>MONTH(Dataset!$A275)</f>
        <v>6</v>
      </c>
      <c r="I275" s="15">
        <f>WEEKDAY(Dataset!$A275)</f>
        <v>1</v>
      </c>
      <c r="J275" s="16">
        <f>Dataset!$D275-Dataset!$C275</f>
        <v>-234</v>
      </c>
    </row>
    <row r="276" spans="1:10" x14ac:dyDescent="0.25">
      <c r="A276" s="9">
        <v>44368</v>
      </c>
      <c r="B276" s="10" t="s">
        <v>43</v>
      </c>
      <c r="C276" s="10">
        <v>42.1</v>
      </c>
      <c r="D276" s="10"/>
      <c r="E276" s="10" t="s">
        <v>32</v>
      </c>
      <c r="F276" s="10" t="s">
        <v>13</v>
      </c>
      <c r="G276" s="10" t="s">
        <v>14</v>
      </c>
      <c r="H276" s="10">
        <f>MONTH(Dataset!$A276)</f>
        <v>6</v>
      </c>
      <c r="I276" s="11">
        <f>WEEKDAY(Dataset!$A276)</f>
        <v>2</v>
      </c>
      <c r="J276" s="12">
        <f>Dataset!$D276-Dataset!$C276</f>
        <v>-42.1</v>
      </c>
    </row>
    <row r="277" spans="1:10" x14ac:dyDescent="0.25">
      <c r="A277" s="13">
        <v>44369</v>
      </c>
      <c r="B277" s="14" t="s">
        <v>44</v>
      </c>
      <c r="C277" s="14">
        <v>17.099999999999998</v>
      </c>
      <c r="D277" s="14"/>
      <c r="E277" s="14" t="s">
        <v>32</v>
      </c>
      <c r="F277" s="14" t="s">
        <v>13</v>
      </c>
      <c r="G277" s="14" t="s">
        <v>14</v>
      </c>
      <c r="H277" s="14">
        <f>MONTH(Dataset!$A277)</f>
        <v>6</v>
      </c>
      <c r="I277" s="15">
        <f>WEEKDAY(Dataset!$A277)</f>
        <v>3</v>
      </c>
      <c r="J277" s="16">
        <f>Dataset!$D277-Dataset!$C277</f>
        <v>-17.099999999999998</v>
      </c>
    </row>
    <row r="278" spans="1:10" x14ac:dyDescent="0.25">
      <c r="A278" s="9">
        <v>44370</v>
      </c>
      <c r="B278" s="10" t="s">
        <v>45</v>
      </c>
      <c r="C278" s="10">
        <v>55</v>
      </c>
      <c r="D278" s="10"/>
      <c r="E278" s="10" t="s">
        <v>46</v>
      </c>
      <c r="F278" s="10" t="s">
        <v>47</v>
      </c>
      <c r="G278" s="10" t="s">
        <v>14</v>
      </c>
      <c r="H278" s="10">
        <f>MONTH(Dataset!$A278)</f>
        <v>6</v>
      </c>
      <c r="I278" s="11">
        <f>WEEKDAY(Dataset!$A278)</f>
        <v>4</v>
      </c>
      <c r="J278" s="12">
        <f>Dataset!$D278-Dataset!$C278</f>
        <v>-55</v>
      </c>
    </row>
    <row r="279" spans="1:10" x14ac:dyDescent="0.25">
      <c r="A279" s="13">
        <v>44370</v>
      </c>
      <c r="B279" s="14" t="s">
        <v>25</v>
      </c>
      <c r="C279" s="14">
        <v>67.900000000000006</v>
      </c>
      <c r="D279" s="14"/>
      <c r="E279" s="14" t="s">
        <v>48</v>
      </c>
      <c r="F279" s="14" t="s">
        <v>20</v>
      </c>
      <c r="G279" s="14" t="s">
        <v>14</v>
      </c>
      <c r="H279" s="14">
        <f>MONTH(Dataset!$A279)</f>
        <v>6</v>
      </c>
      <c r="I279" s="15">
        <f>WEEKDAY(Dataset!$A279)</f>
        <v>4</v>
      </c>
      <c r="J279" s="16">
        <f>Dataset!$D279-Dataset!$C279</f>
        <v>-67.900000000000006</v>
      </c>
    </row>
    <row r="280" spans="1:10" x14ac:dyDescent="0.25">
      <c r="A280" s="9">
        <v>44370</v>
      </c>
      <c r="B280" s="10" t="s">
        <v>11</v>
      </c>
      <c r="C280" s="10">
        <v>5</v>
      </c>
      <c r="D280" s="10"/>
      <c r="E280" s="10" t="s">
        <v>12</v>
      </c>
      <c r="F280" s="10" t="s">
        <v>13</v>
      </c>
      <c r="G280" s="10" t="s">
        <v>14</v>
      </c>
      <c r="H280" s="10">
        <f>MONTH(Dataset!$A280)</f>
        <v>6</v>
      </c>
      <c r="I280" s="11">
        <f>WEEKDAY(Dataset!$A280)</f>
        <v>4</v>
      </c>
      <c r="J280" s="12">
        <f>Dataset!$D280-Dataset!$C280</f>
        <v>-5</v>
      </c>
    </row>
    <row r="281" spans="1:10" x14ac:dyDescent="0.25">
      <c r="A281" s="13">
        <v>44371</v>
      </c>
      <c r="B281" s="14" t="s">
        <v>11</v>
      </c>
      <c r="C281" s="14">
        <v>5</v>
      </c>
      <c r="D281" s="14"/>
      <c r="E281" s="14" t="s">
        <v>12</v>
      </c>
      <c r="F281" s="14" t="s">
        <v>13</v>
      </c>
      <c r="G281" s="14" t="s">
        <v>14</v>
      </c>
      <c r="H281" s="14">
        <f>MONTH(Dataset!$A281)</f>
        <v>6</v>
      </c>
      <c r="I281" s="15">
        <f>WEEKDAY(Dataset!$A281)</f>
        <v>5</v>
      </c>
      <c r="J281" s="16">
        <f>Dataset!$D281-Dataset!$C281</f>
        <v>-5</v>
      </c>
    </row>
    <row r="282" spans="1:10" x14ac:dyDescent="0.25">
      <c r="A282" s="9">
        <v>44372</v>
      </c>
      <c r="B282" s="10" t="s">
        <v>11</v>
      </c>
      <c r="C282" s="10">
        <v>5</v>
      </c>
      <c r="D282" s="10"/>
      <c r="E282" s="10" t="s">
        <v>12</v>
      </c>
      <c r="F282" s="10" t="s">
        <v>13</v>
      </c>
      <c r="G282" s="10" t="s">
        <v>14</v>
      </c>
      <c r="H282" s="10">
        <f>MONTH(Dataset!$A282)</f>
        <v>6</v>
      </c>
      <c r="I282" s="11">
        <f>WEEKDAY(Dataset!$A282)</f>
        <v>6</v>
      </c>
      <c r="J282" s="12">
        <f>Dataset!$D282-Dataset!$C282</f>
        <v>-5</v>
      </c>
    </row>
    <row r="283" spans="1:10" x14ac:dyDescent="0.25">
      <c r="A283" s="13">
        <v>44373</v>
      </c>
      <c r="B283" s="14" t="s">
        <v>11</v>
      </c>
      <c r="C283" s="14">
        <v>5</v>
      </c>
      <c r="D283" s="14"/>
      <c r="E283" s="14" t="s">
        <v>12</v>
      </c>
      <c r="F283" s="14" t="s">
        <v>13</v>
      </c>
      <c r="G283" s="14" t="s">
        <v>14</v>
      </c>
      <c r="H283" s="14">
        <f>MONTH(Dataset!$A283)</f>
        <v>6</v>
      </c>
      <c r="I283" s="15">
        <f>WEEKDAY(Dataset!$A283)</f>
        <v>7</v>
      </c>
      <c r="J283" s="16">
        <f>Dataset!$D283-Dataset!$C283</f>
        <v>-5</v>
      </c>
    </row>
    <row r="284" spans="1:10" x14ac:dyDescent="0.25">
      <c r="A284" s="9">
        <v>44374</v>
      </c>
      <c r="B284" s="10" t="s">
        <v>11</v>
      </c>
      <c r="C284" s="10">
        <v>5</v>
      </c>
      <c r="D284" s="10"/>
      <c r="E284" s="10" t="s">
        <v>12</v>
      </c>
      <c r="F284" s="10" t="s">
        <v>13</v>
      </c>
      <c r="G284" s="10" t="s">
        <v>14</v>
      </c>
      <c r="H284" s="10">
        <f>MONTH(Dataset!$A284)</f>
        <v>6</v>
      </c>
      <c r="I284" s="11">
        <f>WEEKDAY(Dataset!$A284)</f>
        <v>1</v>
      </c>
      <c r="J284" s="12">
        <f>Dataset!$D284-Dataset!$C284</f>
        <v>-5</v>
      </c>
    </row>
    <row r="285" spans="1:10" x14ac:dyDescent="0.25">
      <c r="A285" s="13">
        <v>44374</v>
      </c>
      <c r="B285" s="14" t="s">
        <v>21</v>
      </c>
      <c r="C285" s="14">
        <v>166.9</v>
      </c>
      <c r="D285" s="14"/>
      <c r="E285" s="14" t="s">
        <v>22</v>
      </c>
      <c r="F285" s="14" t="s">
        <v>17</v>
      </c>
      <c r="G285" s="14" t="s">
        <v>14</v>
      </c>
      <c r="H285" s="14">
        <f>MONTH(Dataset!$A285)</f>
        <v>6</v>
      </c>
      <c r="I285" s="15">
        <f>WEEKDAY(Dataset!$A285)</f>
        <v>1</v>
      </c>
      <c r="J285" s="16">
        <f>Dataset!$D285-Dataset!$C285</f>
        <v>-166.9</v>
      </c>
    </row>
    <row r="286" spans="1:10" x14ac:dyDescent="0.25">
      <c r="A286" s="9">
        <v>44375</v>
      </c>
      <c r="B286" s="10" t="s">
        <v>49</v>
      </c>
      <c r="C286" s="10">
        <v>129.9</v>
      </c>
      <c r="D286" s="10"/>
      <c r="E286" s="10" t="s">
        <v>30</v>
      </c>
      <c r="F286" s="10" t="s">
        <v>28</v>
      </c>
      <c r="G286" s="10" t="s">
        <v>14</v>
      </c>
      <c r="H286" s="10">
        <f>MONTH(Dataset!$A286)</f>
        <v>6</v>
      </c>
      <c r="I286" s="11">
        <f>WEEKDAY(Dataset!$A286)</f>
        <v>2</v>
      </c>
      <c r="J286" s="12">
        <f>Dataset!$D286-Dataset!$C286</f>
        <v>-129.9</v>
      </c>
    </row>
    <row r="287" spans="1:10" x14ac:dyDescent="0.25">
      <c r="A287" s="13">
        <v>44375</v>
      </c>
      <c r="B287" s="14" t="s">
        <v>50</v>
      </c>
      <c r="C287" s="14">
        <v>180.29999999999998</v>
      </c>
      <c r="D287" s="14"/>
      <c r="E287" s="14" t="s">
        <v>27</v>
      </c>
      <c r="F287" s="14" t="s">
        <v>28</v>
      </c>
      <c r="G287" s="14" t="s">
        <v>14</v>
      </c>
      <c r="H287" s="14">
        <f>MONTH(Dataset!$A287)</f>
        <v>6</v>
      </c>
      <c r="I287" s="15">
        <f>WEEKDAY(Dataset!$A287)</f>
        <v>2</v>
      </c>
      <c r="J287" s="16">
        <f>Dataset!$D287-Dataset!$C287</f>
        <v>-180.29999999999998</v>
      </c>
    </row>
    <row r="288" spans="1:10" x14ac:dyDescent="0.25">
      <c r="A288" s="9">
        <v>44376</v>
      </c>
      <c r="B288" s="10" t="s">
        <v>29</v>
      </c>
      <c r="C288" s="10">
        <v>150.1</v>
      </c>
      <c r="D288" s="10"/>
      <c r="E288" s="10" t="s">
        <v>30</v>
      </c>
      <c r="F288" s="10" t="s">
        <v>28</v>
      </c>
      <c r="G288" s="10" t="s">
        <v>14</v>
      </c>
      <c r="H288" s="10">
        <f>MONTH(Dataset!$A288)</f>
        <v>6</v>
      </c>
      <c r="I288" s="11">
        <f>WEEKDAY(Dataset!$A288)</f>
        <v>3</v>
      </c>
      <c r="J288" s="12">
        <f>Dataset!$D288-Dataset!$C288</f>
        <v>-150.1</v>
      </c>
    </row>
    <row r="289" spans="1:10" x14ac:dyDescent="0.25">
      <c r="A289" s="13">
        <v>44376</v>
      </c>
      <c r="B289" s="14" t="s">
        <v>33</v>
      </c>
      <c r="C289" s="14">
        <v>28.200000000000003</v>
      </c>
      <c r="D289" s="14"/>
      <c r="E289" s="14" t="s">
        <v>34</v>
      </c>
      <c r="F289" s="14" t="s">
        <v>20</v>
      </c>
      <c r="G289" s="14" t="s">
        <v>14</v>
      </c>
      <c r="H289" s="14">
        <f>MONTH(Dataset!$A289)</f>
        <v>6</v>
      </c>
      <c r="I289" s="15">
        <f>WEEKDAY(Dataset!$A289)</f>
        <v>3</v>
      </c>
      <c r="J289" s="16">
        <f>Dataset!$D289-Dataset!$C289</f>
        <v>-28.200000000000003</v>
      </c>
    </row>
    <row r="290" spans="1:10" x14ac:dyDescent="0.25">
      <c r="A290" s="9">
        <v>44376</v>
      </c>
      <c r="B290" s="10" t="s">
        <v>56</v>
      </c>
      <c r="C290" s="10">
        <v>15</v>
      </c>
      <c r="D290" s="10"/>
      <c r="E290" s="10" t="s">
        <v>32</v>
      </c>
      <c r="F290" s="10" t="s">
        <v>13</v>
      </c>
      <c r="G290" s="10" t="s">
        <v>14</v>
      </c>
      <c r="H290" s="10">
        <f>MONTH(Dataset!$A290)</f>
        <v>6</v>
      </c>
      <c r="I290" s="11">
        <f>WEEKDAY(Dataset!$A290)</f>
        <v>3</v>
      </c>
      <c r="J290" s="12">
        <f>Dataset!$D290-Dataset!$C290</f>
        <v>-15</v>
      </c>
    </row>
    <row r="291" spans="1:10" x14ac:dyDescent="0.25">
      <c r="A291" s="13">
        <v>44377</v>
      </c>
      <c r="B291" s="14" t="s">
        <v>11</v>
      </c>
      <c r="C291" s="14">
        <v>5</v>
      </c>
      <c r="D291" s="14"/>
      <c r="E291" s="14" t="s">
        <v>12</v>
      </c>
      <c r="F291" s="14" t="s">
        <v>13</v>
      </c>
      <c r="G291" s="14" t="s">
        <v>14</v>
      </c>
      <c r="H291" s="14">
        <f>MONTH(Dataset!$A291)</f>
        <v>6</v>
      </c>
      <c r="I291" s="15">
        <f>WEEKDAY(Dataset!$A291)</f>
        <v>4</v>
      </c>
      <c r="J291" s="16">
        <f>Dataset!$D291-Dataset!$C291</f>
        <v>-5</v>
      </c>
    </row>
    <row r="292" spans="1:10" x14ac:dyDescent="0.25">
      <c r="A292" s="9">
        <v>44378</v>
      </c>
      <c r="B292" s="10" t="s">
        <v>11</v>
      </c>
      <c r="C292" s="10">
        <v>5</v>
      </c>
      <c r="D292" s="10"/>
      <c r="E292" s="10" t="s">
        <v>12</v>
      </c>
      <c r="F292" s="10" t="s">
        <v>13</v>
      </c>
      <c r="G292" s="10" t="s">
        <v>14</v>
      </c>
      <c r="H292" s="10">
        <f>MONTH(Dataset!$A292)</f>
        <v>7</v>
      </c>
      <c r="I292" s="11">
        <f>WEEKDAY(Dataset!$A292)</f>
        <v>5</v>
      </c>
      <c r="J292" s="12">
        <f>Dataset!$D292-Dataset!$C292</f>
        <v>-5</v>
      </c>
    </row>
    <row r="293" spans="1:10" x14ac:dyDescent="0.25">
      <c r="A293" s="13">
        <v>44379</v>
      </c>
      <c r="B293" s="14" t="s">
        <v>7</v>
      </c>
      <c r="C293" s="14"/>
      <c r="D293" s="14">
        <v>5000</v>
      </c>
      <c r="E293" s="14" t="s">
        <v>8</v>
      </c>
      <c r="F293" s="14" t="s">
        <v>9</v>
      </c>
      <c r="G293" s="14" t="s">
        <v>10</v>
      </c>
      <c r="H293" s="14">
        <f>MONTH(Dataset!$A293)</f>
        <v>7</v>
      </c>
      <c r="I293" s="15">
        <f>WEEKDAY(Dataset!$A293)</f>
        <v>6</v>
      </c>
      <c r="J293" s="16">
        <f>Dataset!$D293-Dataset!$C293</f>
        <v>5000</v>
      </c>
    </row>
    <row r="294" spans="1:10" x14ac:dyDescent="0.25">
      <c r="A294" s="9">
        <v>44380</v>
      </c>
      <c r="B294" s="10" t="s">
        <v>11</v>
      </c>
      <c r="C294" s="10">
        <v>5</v>
      </c>
      <c r="D294" s="10"/>
      <c r="E294" s="10" t="s">
        <v>12</v>
      </c>
      <c r="F294" s="10" t="s">
        <v>13</v>
      </c>
      <c r="G294" s="10" t="s">
        <v>14</v>
      </c>
      <c r="H294" s="10">
        <f>MONTH(Dataset!$A294)</f>
        <v>7</v>
      </c>
      <c r="I294" s="11">
        <f>WEEKDAY(Dataset!$A294)</f>
        <v>7</v>
      </c>
      <c r="J294" s="12">
        <f>Dataset!$D294-Dataset!$C294</f>
        <v>-5</v>
      </c>
    </row>
    <row r="295" spans="1:10" x14ac:dyDescent="0.25">
      <c r="A295" s="13">
        <v>44382</v>
      </c>
      <c r="B295" s="14" t="s">
        <v>15</v>
      </c>
      <c r="C295" s="14">
        <v>900</v>
      </c>
      <c r="D295" s="14"/>
      <c r="E295" s="14" t="s">
        <v>16</v>
      </c>
      <c r="F295" s="14" t="s">
        <v>17</v>
      </c>
      <c r="G295" s="14" t="s">
        <v>14</v>
      </c>
      <c r="H295" s="14">
        <f>MONTH(Dataset!$A295)</f>
        <v>7</v>
      </c>
      <c r="I295" s="15">
        <f>WEEKDAY(Dataset!$A295)</f>
        <v>2</v>
      </c>
      <c r="J295" s="16">
        <f>Dataset!$D295-Dataset!$C295</f>
        <v>-900</v>
      </c>
    </row>
    <row r="296" spans="1:10" x14ac:dyDescent="0.25">
      <c r="A296" s="9">
        <v>44382</v>
      </c>
      <c r="B296" s="10" t="s">
        <v>18</v>
      </c>
      <c r="C296" s="10">
        <v>150</v>
      </c>
      <c r="D296" s="10"/>
      <c r="E296" s="10" t="s">
        <v>19</v>
      </c>
      <c r="F296" s="10" t="s">
        <v>20</v>
      </c>
      <c r="G296" s="10" t="s">
        <v>14</v>
      </c>
      <c r="H296" s="10">
        <f>MONTH(Dataset!$A296)</f>
        <v>7</v>
      </c>
      <c r="I296" s="11">
        <f>WEEKDAY(Dataset!$A296)</f>
        <v>2</v>
      </c>
      <c r="J296" s="12">
        <f>Dataset!$D296-Dataset!$C296</f>
        <v>-150</v>
      </c>
    </row>
    <row r="297" spans="1:10" x14ac:dyDescent="0.25">
      <c r="A297" s="13">
        <v>44382</v>
      </c>
      <c r="B297" s="14" t="s">
        <v>60</v>
      </c>
      <c r="C297" s="14">
        <v>15</v>
      </c>
      <c r="D297" s="14"/>
      <c r="E297" s="14" t="s">
        <v>32</v>
      </c>
      <c r="F297" s="14" t="s">
        <v>13</v>
      </c>
      <c r="G297" s="14" t="s">
        <v>14</v>
      </c>
      <c r="H297" s="14">
        <f>MONTH(Dataset!$A297)</f>
        <v>7</v>
      </c>
      <c r="I297" s="15">
        <f>WEEKDAY(Dataset!$A297)</f>
        <v>2</v>
      </c>
      <c r="J297" s="16">
        <f>Dataset!$D297-Dataset!$C297</f>
        <v>-15</v>
      </c>
    </row>
    <row r="298" spans="1:10" x14ac:dyDescent="0.25">
      <c r="A298" s="9">
        <v>44382</v>
      </c>
      <c r="B298" s="10" t="s">
        <v>11</v>
      </c>
      <c r="C298" s="10">
        <v>5</v>
      </c>
      <c r="D298" s="10"/>
      <c r="E298" s="10" t="s">
        <v>12</v>
      </c>
      <c r="F298" s="10" t="s">
        <v>13</v>
      </c>
      <c r="G298" s="10" t="s">
        <v>14</v>
      </c>
      <c r="H298" s="10">
        <f>MONTH(Dataset!$A298)</f>
        <v>7</v>
      </c>
      <c r="I298" s="11">
        <f>WEEKDAY(Dataset!$A298)</f>
        <v>2</v>
      </c>
      <c r="J298" s="12">
        <f>Dataset!$D298-Dataset!$C298</f>
        <v>-5</v>
      </c>
    </row>
    <row r="299" spans="1:10" x14ac:dyDescent="0.25">
      <c r="A299" s="13">
        <v>44383</v>
      </c>
      <c r="B299" s="14" t="s">
        <v>11</v>
      </c>
      <c r="C299" s="14">
        <v>5</v>
      </c>
      <c r="D299" s="14"/>
      <c r="E299" s="14" t="s">
        <v>12</v>
      </c>
      <c r="F299" s="14" t="s">
        <v>13</v>
      </c>
      <c r="G299" s="14" t="s">
        <v>14</v>
      </c>
      <c r="H299" s="14">
        <f>MONTH(Dataset!$A299)</f>
        <v>7</v>
      </c>
      <c r="I299" s="15">
        <f>WEEKDAY(Dataset!$A299)</f>
        <v>3</v>
      </c>
      <c r="J299" s="16">
        <f>Dataset!$D299-Dataset!$C299</f>
        <v>-5</v>
      </c>
    </row>
    <row r="300" spans="1:10" x14ac:dyDescent="0.25">
      <c r="A300" s="9">
        <v>44384</v>
      </c>
      <c r="B300" s="10" t="s">
        <v>11</v>
      </c>
      <c r="C300" s="10">
        <v>5</v>
      </c>
      <c r="D300" s="10"/>
      <c r="E300" s="10" t="s">
        <v>12</v>
      </c>
      <c r="F300" s="10" t="s">
        <v>13</v>
      </c>
      <c r="G300" s="10" t="s">
        <v>14</v>
      </c>
      <c r="H300" s="10">
        <f>MONTH(Dataset!$A300)</f>
        <v>7</v>
      </c>
      <c r="I300" s="11">
        <f>WEEKDAY(Dataset!$A300)</f>
        <v>4</v>
      </c>
      <c r="J300" s="12">
        <f>Dataset!$D300-Dataset!$C300</f>
        <v>-5</v>
      </c>
    </row>
    <row r="301" spans="1:10" x14ac:dyDescent="0.25">
      <c r="A301" s="13">
        <v>44384</v>
      </c>
      <c r="B301" s="14" t="s">
        <v>21</v>
      </c>
      <c r="C301" s="14">
        <v>180</v>
      </c>
      <c r="D301" s="14"/>
      <c r="E301" s="14" t="s">
        <v>22</v>
      </c>
      <c r="F301" s="14" t="s">
        <v>17</v>
      </c>
      <c r="G301" s="14" t="s">
        <v>14</v>
      </c>
      <c r="H301" s="14">
        <f>MONTH(Dataset!$A301)</f>
        <v>7</v>
      </c>
      <c r="I301" s="15">
        <f>WEEKDAY(Dataset!$A301)</f>
        <v>4</v>
      </c>
      <c r="J301" s="16">
        <f>Dataset!$D301-Dataset!$C301</f>
        <v>-180</v>
      </c>
    </row>
    <row r="302" spans="1:10" x14ac:dyDescent="0.25">
      <c r="A302" s="9">
        <v>44387</v>
      </c>
      <c r="B302" s="10" t="s">
        <v>23</v>
      </c>
      <c r="C302" s="10">
        <v>56.1</v>
      </c>
      <c r="D302" s="10"/>
      <c r="E302" s="10" t="s">
        <v>24</v>
      </c>
      <c r="F302" s="10" t="s">
        <v>17</v>
      </c>
      <c r="G302" s="10" t="s">
        <v>14</v>
      </c>
      <c r="H302" s="10">
        <f>MONTH(Dataset!$A302)</f>
        <v>7</v>
      </c>
      <c r="I302" s="11">
        <f>WEEKDAY(Dataset!$A302)</f>
        <v>7</v>
      </c>
      <c r="J302" s="12">
        <f>Dataset!$D302-Dataset!$C302</f>
        <v>-56.1</v>
      </c>
    </row>
    <row r="303" spans="1:10" x14ac:dyDescent="0.25">
      <c r="A303" s="13">
        <v>44387</v>
      </c>
      <c r="B303" s="14" t="s">
        <v>11</v>
      </c>
      <c r="C303" s="14">
        <v>5</v>
      </c>
      <c r="D303" s="14"/>
      <c r="E303" s="14" t="s">
        <v>12</v>
      </c>
      <c r="F303" s="14" t="s">
        <v>13</v>
      </c>
      <c r="G303" s="14" t="s">
        <v>14</v>
      </c>
      <c r="H303" s="14">
        <f>MONTH(Dataset!$A303)</f>
        <v>7</v>
      </c>
      <c r="I303" s="15">
        <f>WEEKDAY(Dataset!$A303)</f>
        <v>7</v>
      </c>
      <c r="J303" s="16">
        <f>Dataset!$D303-Dataset!$C303</f>
        <v>-5</v>
      </c>
    </row>
    <row r="304" spans="1:10" x14ac:dyDescent="0.25">
      <c r="A304" s="9">
        <v>44388</v>
      </c>
      <c r="B304" s="10" t="s">
        <v>11</v>
      </c>
      <c r="C304" s="10">
        <v>5</v>
      </c>
      <c r="D304" s="10"/>
      <c r="E304" s="10" t="s">
        <v>12</v>
      </c>
      <c r="F304" s="10" t="s">
        <v>13</v>
      </c>
      <c r="G304" s="10" t="s">
        <v>14</v>
      </c>
      <c r="H304" s="10">
        <f>MONTH(Dataset!$A304)</f>
        <v>7</v>
      </c>
      <c r="I304" s="11">
        <f>WEEKDAY(Dataset!$A304)</f>
        <v>1</v>
      </c>
      <c r="J304" s="12">
        <f>Dataset!$D304-Dataset!$C304</f>
        <v>-5</v>
      </c>
    </row>
    <row r="305" spans="1:10" x14ac:dyDescent="0.25">
      <c r="A305" s="13">
        <v>44389</v>
      </c>
      <c r="B305" s="14" t="s">
        <v>25</v>
      </c>
      <c r="C305" s="14">
        <v>83.1</v>
      </c>
      <c r="D305" s="14"/>
      <c r="E305" s="14" t="s">
        <v>48</v>
      </c>
      <c r="F305" s="14" t="s">
        <v>20</v>
      </c>
      <c r="G305" s="14" t="s">
        <v>14</v>
      </c>
      <c r="H305" s="14">
        <f>MONTH(Dataset!$A305)</f>
        <v>7</v>
      </c>
      <c r="I305" s="15">
        <f>WEEKDAY(Dataset!$A305)</f>
        <v>2</v>
      </c>
      <c r="J305" s="16">
        <f>Dataset!$D305-Dataset!$C305</f>
        <v>-83.1</v>
      </c>
    </row>
    <row r="306" spans="1:10" x14ac:dyDescent="0.25">
      <c r="A306" s="9">
        <v>44389</v>
      </c>
      <c r="B306" s="10" t="s">
        <v>11</v>
      </c>
      <c r="C306" s="10">
        <v>5</v>
      </c>
      <c r="D306" s="10"/>
      <c r="E306" s="10" t="s">
        <v>12</v>
      </c>
      <c r="F306" s="10" t="s">
        <v>13</v>
      </c>
      <c r="G306" s="10" t="s">
        <v>14</v>
      </c>
      <c r="H306" s="10">
        <f>MONTH(Dataset!$A306)</f>
        <v>7</v>
      </c>
      <c r="I306" s="11">
        <f>WEEKDAY(Dataset!$A306)</f>
        <v>2</v>
      </c>
      <c r="J306" s="12">
        <f>Dataset!$D306-Dataset!$C306</f>
        <v>-5</v>
      </c>
    </row>
    <row r="307" spans="1:10" x14ac:dyDescent="0.25">
      <c r="A307" s="13">
        <v>44390</v>
      </c>
      <c r="B307" s="14" t="s">
        <v>11</v>
      </c>
      <c r="C307" s="14">
        <v>5</v>
      </c>
      <c r="D307" s="14"/>
      <c r="E307" s="14" t="s">
        <v>12</v>
      </c>
      <c r="F307" s="14" t="s">
        <v>13</v>
      </c>
      <c r="G307" s="14" t="s">
        <v>14</v>
      </c>
      <c r="H307" s="14">
        <f>MONTH(Dataset!$A307)</f>
        <v>7</v>
      </c>
      <c r="I307" s="15">
        <f>WEEKDAY(Dataset!$A307)</f>
        <v>3</v>
      </c>
      <c r="J307" s="16">
        <f>Dataset!$D307-Dataset!$C307</f>
        <v>-5</v>
      </c>
    </row>
    <row r="308" spans="1:10" x14ac:dyDescent="0.25">
      <c r="A308" s="9">
        <v>44391</v>
      </c>
      <c r="B308" s="10" t="s">
        <v>21</v>
      </c>
      <c r="C308" s="10">
        <v>141.1</v>
      </c>
      <c r="D308" s="10"/>
      <c r="E308" s="10" t="s">
        <v>22</v>
      </c>
      <c r="F308" s="10" t="s">
        <v>17</v>
      </c>
      <c r="G308" s="10" t="s">
        <v>14</v>
      </c>
      <c r="H308" s="10">
        <f>MONTH(Dataset!$A308)</f>
        <v>7</v>
      </c>
      <c r="I308" s="11">
        <f>WEEKDAY(Dataset!$A308)</f>
        <v>4</v>
      </c>
      <c r="J308" s="12">
        <f>Dataset!$D308-Dataset!$C308</f>
        <v>-141.1</v>
      </c>
    </row>
    <row r="309" spans="1:10" x14ac:dyDescent="0.25">
      <c r="A309" s="13">
        <v>44391</v>
      </c>
      <c r="B309" s="14" t="s">
        <v>11</v>
      </c>
      <c r="C309" s="14">
        <v>5</v>
      </c>
      <c r="D309" s="14"/>
      <c r="E309" s="14" t="s">
        <v>12</v>
      </c>
      <c r="F309" s="14" t="s">
        <v>13</v>
      </c>
      <c r="G309" s="14" t="s">
        <v>14</v>
      </c>
      <c r="H309" s="14">
        <f>MONTH(Dataset!$A309)</f>
        <v>7</v>
      </c>
      <c r="I309" s="15">
        <f>WEEKDAY(Dataset!$A309)</f>
        <v>4</v>
      </c>
      <c r="J309" s="16">
        <f>Dataset!$D309-Dataset!$C309</f>
        <v>-5</v>
      </c>
    </row>
    <row r="310" spans="1:10" x14ac:dyDescent="0.25">
      <c r="A310" s="9">
        <v>44392</v>
      </c>
      <c r="B310" s="10" t="s">
        <v>11</v>
      </c>
      <c r="C310" s="10">
        <v>5</v>
      </c>
      <c r="D310" s="10"/>
      <c r="E310" s="10" t="s">
        <v>12</v>
      </c>
      <c r="F310" s="10" t="s">
        <v>13</v>
      </c>
      <c r="G310" s="10" t="s">
        <v>14</v>
      </c>
      <c r="H310" s="10">
        <f>MONTH(Dataset!$A310)</f>
        <v>7</v>
      </c>
      <c r="I310" s="11">
        <f>WEEKDAY(Dataset!$A310)</f>
        <v>5</v>
      </c>
      <c r="J310" s="12">
        <f>Dataset!$D310-Dataset!$C310</f>
        <v>-5</v>
      </c>
    </row>
    <row r="311" spans="1:10" x14ac:dyDescent="0.25">
      <c r="A311" s="13">
        <v>44392</v>
      </c>
      <c r="B311" s="14" t="s">
        <v>26</v>
      </c>
      <c r="C311" s="14">
        <v>45.8</v>
      </c>
      <c r="D311" s="14"/>
      <c r="E311" s="14" t="s">
        <v>27</v>
      </c>
      <c r="F311" s="14" t="s">
        <v>28</v>
      </c>
      <c r="G311" s="14" t="s">
        <v>14</v>
      </c>
      <c r="H311" s="14">
        <f>MONTH(Dataset!$A311)</f>
        <v>7</v>
      </c>
      <c r="I311" s="15">
        <f>WEEKDAY(Dataset!$A311)</f>
        <v>5</v>
      </c>
      <c r="J311" s="16">
        <f>Dataset!$D311-Dataset!$C311</f>
        <v>-45.8</v>
      </c>
    </row>
    <row r="312" spans="1:10" x14ac:dyDescent="0.25">
      <c r="A312" s="9">
        <v>44392</v>
      </c>
      <c r="B312" s="10" t="s">
        <v>29</v>
      </c>
      <c r="C312" s="10">
        <v>103.80000000000001</v>
      </c>
      <c r="D312" s="10"/>
      <c r="E312" s="10" t="s">
        <v>30</v>
      </c>
      <c r="F312" s="10" t="s">
        <v>28</v>
      </c>
      <c r="G312" s="10" t="s">
        <v>14</v>
      </c>
      <c r="H312" s="10">
        <f>MONTH(Dataset!$A312)</f>
        <v>7</v>
      </c>
      <c r="I312" s="11">
        <f>WEEKDAY(Dataset!$A312)</f>
        <v>5</v>
      </c>
      <c r="J312" s="12">
        <f>Dataset!$D312-Dataset!$C312</f>
        <v>-103.80000000000001</v>
      </c>
    </row>
    <row r="313" spans="1:10" x14ac:dyDescent="0.25">
      <c r="A313" s="13">
        <v>44392</v>
      </c>
      <c r="B313" s="14" t="s">
        <v>31</v>
      </c>
      <c r="C313" s="14">
        <v>58</v>
      </c>
      <c r="D313" s="14"/>
      <c r="E313" s="14" t="s">
        <v>32</v>
      </c>
      <c r="F313" s="14" t="s">
        <v>13</v>
      </c>
      <c r="G313" s="14" t="s">
        <v>14</v>
      </c>
      <c r="H313" s="14">
        <f>MONTH(Dataset!$A313)</f>
        <v>7</v>
      </c>
      <c r="I313" s="15">
        <f>WEEKDAY(Dataset!$A313)</f>
        <v>5</v>
      </c>
      <c r="J313" s="16">
        <f>Dataset!$D313-Dataset!$C313</f>
        <v>-58</v>
      </c>
    </row>
    <row r="314" spans="1:10" x14ac:dyDescent="0.25">
      <c r="A314" s="9">
        <v>44393</v>
      </c>
      <c r="B314" s="10" t="s">
        <v>33</v>
      </c>
      <c r="C314" s="10">
        <v>34.200000000000003</v>
      </c>
      <c r="D314" s="10"/>
      <c r="E314" s="10" t="s">
        <v>34</v>
      </c>
      <c r="F314" s="10" t="s">
        <v>20</v>
      </c>
      <c r="G314" s="10" t="s">
        <v>14</v>
      </c>
      <c r="H314" s="10">
        <f>MONTH(Dataset!$A314)</f>
        <v>7</v>
      </c>
      <c r="I314" s="11">
        <f>WEEKDAY(Dataset!$A314)</f>
        <v>6</v>
      </c>
      <c r="J314" s="12">
        <f>Dataset!$D314-Dataset!$C314</f>
        <v>-34.200000000000003</v>
      </c>
    </row>
    <row r="315" spans="1:10" x14ac:dyDescent="0.25">
      <c r="A315" s="13">
        <v>44394</v>
      </c>
      <c r="B315" s="14" t="s">
        <v>35</v>
      </c>
      <c r="C315" s="14"/>
      <c r="D315" s="14">
        <v>200</v>
      </c>
      <c r="E315" s="14" t="s">
        <v>36</v>
      </c>
      <c r="F315" s="14" t="s">
        <v>37</v>
      </c>
      <c r="G315" s="14" t="s">
        <v>10</v>
      </c>
      <c r="H315" s="14">
        <f>MONTH(Dataset!$A315)</f>
        <v>7</v>
      </c>
      <c r="I315" s="15">
        <f>WEEKDAY(Dataset!$A315)</f>
        <v>7</v>
      </c>
      <c r="J315" s="16">
        <f>Dataset!$D315-Dataset!$C315</f>
        <v>200</v>
      </c>
    </row>
    <row r="316" spans="1:10" x14ac:dyDescent="0.25">
      <c r="A316" s="9">
        <v>44394</v>
      </c>
      <c r="B316" s="10" t="s">
        <v>11</v>
      </c>
      <c r="C316" s="10">
        <v>5</v>
      </c>
      <c r="D316" s="10"/>
      <c r="E316" s="10" t="s">
        <v>12</v>
      </c>
      <c r="F316" s="10" t="s">
        <v>13</v>
      </c>
      <c r="G316" s="10" t="s">
        <v>14</v>
      </c>
      <c r="H316" s="10">
        <f>MONTH(Dataset!$A316)</f>
        <v>7</v>
      </c>
      <c r="I316" s="11">
        <f>WEEKDAY(Dataset!$A316)</f>
        <v>7</v>
      </c>
      <c r="J316" s="12">
        <f>Dataset!$D316-Dataset!$C316</f>
        <v>-5</v>
      </c>
    </row>
    <row r="317" spans="1:10" x14ac:dyDescent="0.25">
      <c r="A317" s="13">
        <v>44395</v>
      </c>
      <c r="B317" s="14" t="s">
        <v>11</v>
      </c>
      <c r="C317" s="14">
        <v>5</v>
      </c>
      <c r="D317" s="14"/>
      <c r="E317" s="14" t="s">
        <v>12</v>
      </c>
      <c r="F317" s="14" t="s">
        <v>13</v>
      </c>
      <c r="G317" s="14" t="s">
        <v>14</v>
      </c>
      <c r="H317" s="14">
        <f>MONTH(Dataset!$A317)</f>
        <v>7</v>
      </c>
      <c r="I317" s="15">
        <f>WEEKDAY(Dataset!$A317)</f>
        <v>1</v>
      </c>
      <c r="J317" s="16">
        <f>Dataset!$D317-Dataset!$C317</f>
        <v>-5</v>
      </c>
    </row>
    <row r="318" spans="1:10" x14ac:dyDescent="0.25">
      <c r="A318" s="9">
        <v>44395</v>
      </c>
      <c r="B318" s="10" t="s">
        <v>39</v>
      </c>
      <c r="C318" s="10">
        <v>40</v>
      </c>
      <c r="D318" s="10"/>
      <c r="E318" s="10" t="s">
        <v>39</v>
      </c>
      <c r="F318" s="10" t="s">
        <v>17</v>
      </c>
      <c r="G318" s="10" t="s">
        <v>14</v>
      </c>
      <c r="H318" s="10">
        <f>MONTH(Dataset!$A318)</f>
        <v>7</v>
      </c>
      <c r="I318" s="11">
        <f>WEEKDAY(Dataset!$A318)</f>
        <v>1</v>
      </c>
      <c r="J318" s="12">
        <f>Dataset!$D318-Dataset!$C318</f>
        <v>-40</v>
      </c>
    </row>
    <row r="319" spans="1:10" x14ac:dyDescent="0.25">
      <c r="A319" s="13">
        <v>44396</v>
      </c>
      <c r="B319" s="14" t="s">
        <v>40</v>
      </c>
      <c r="C319" s="14">
        <v>51.1</v>
      </c>
      <c r="D319" s="14"/>
      <c r="E319" s="14" t="s">
        <v>41</v>
      </c>
      <c r="F319" s="14" t="s">
        <v>28</v>
      </c>
      <c r="G319" s="14" t="s">
        <v>14</v>
      </c>
      <c r="H319" s="14">
        <f>MONTH(Dataset!$A319)</f>
        <v>7</v>
      </c>
      <c r="I319" s="15">
        <f>WEEKDAY(Dataset!$A319)</f>
        <v>2</v>
      </c>
      <c r="J319" s="16">
        <f>Dataset!$D319-Dataset!$C319</f>
        <v>-51.1</v>
      </c>
    </row>
    <row r="320" spans="1:10" x14ac:dyDescent="0.25">
      <c r="A320" s="9">
        <v>44396</v>
      </c>
      <c r="B320" s="10" t="s">
        <v>42</v>
      </c>
      <c r="C320" s="10">
        <v>35</v>
      </c>
      <c r="D320" s="10"/>
      <c r="E320" s="10" t="s">
        <v>27</v>
      </c>
      <c r="F320" s="10" t="s">
        <v>28</v>
      </c>
      <c r="G320" s="10" t="s">
        <v>14</v>
      </c>
      <c r="H320" s="10">
        <f>MONTH(Dataset!$A320)</f>
        <v>7</v>
      </c>
      <c r="I320" s="11">
        <f>WEEKDAY(Dataset!$A320)</f>
        <v>2</v>
      </c>
      <c r="J320" s="12">
        <f>Dataset!$D320-Dataset!$C320</f>
        <v>-35</v>
      </c>
    </row>
    <row r="321" spans="1:10" x14ac:dyDescent="0.25">
      <c r="A321" s="13">
        <v>44396</v>
      </c>
      <c r="B321" s="14" t="s">
        <v>11</v>
      </c>
      <c r="C321" s="14">
        <v>5</v>
      </c>
      <c r="D321" s="14"/>
      <c r="E321" s="14" t="s">
        <v>12</v>
      </c>
      <c r="F321" s="14" t="s">
        <v>13</v>
      </c>
      <c r="G321" s="14" t="s">
        <v>14</v>
      </c>
      <c r="H321" s="14">
        <f>MONTH(Dataset!$A321)</f>
        <v>7</v>
      </c>
      <c r="I321" s="15">
        <f>WEEKDAY(Dataset!$A321)</f>
        <v>2</v>
      </c>
      <c r="J321" s="16">
        <f>Dataset!$D321-Dataset!$C321</f>
        <v>-5</v>
      </c>
    </row>
    <row r="322" spans="1:10" x14ac:dyDescent="0.25">
      <c r="A322" s="9">
        <v>44397</v>
      </c>
      <c r="B322" s="10" t="s">
        <v>11</v>
      </c>
      <c r="C322" s="10">
        <v>5</v>
      </c>
      <c r="D322" s="10"/>
      <c r="E322" s="10" t="s">
        <v>12</v>
      </c>
      <c r="F322" s="10" t="s">
        <v>13</v>
      </c>
      <c r="G322" s="10" t="s">
        <v>14</v>
      </c>
      <c r="H322" s="10">
        <f>MONTH(Dataset!$A322)</f>
        <v>7</v>
      </c>
      <c r="I322" s="11">
        <f>WEEKDAY(Dataset!$A322)</f>
        <v>3</v>
      </c>
      <c r="J322" s="12">
        <f>Dataset!$D322-Dataset!$C322</f>
        <v>-5</v>
      </c>
    </row>
    <row r="323" spans="1:10" x14ac:dyDescent="0.25">
      <c r="A323" s="13">
        <v>44398</v>
      </c>
      <c r="B323" s="14" t="s">
        <v>11</v>
      </c>
      <c r="C323" s="14">
        <v>5</v>
      </c>
      <c r="D323" s="14"/>
      <c r="E323" s="14" t="s">
        <v>12</v>
      </c>
      <c r="F323" s="14" t="s">
        <v>13</v>
      </c>
      <c r="G323" s="14" t="s">
        <v>14</v>
      </c>
      <c r="H323" s="14">
        <f>MONTH(Dataset!$A323)</f>
        <v>7</v>
      </c>
      <c r="I323" s="15">
        <f>WEEKDAY(Dataset!$A323)</f>
        <v>4</v>
      </c>
      <c r="J323" s="16">
        <f>Dataset!$D323-Dataset!$C323</f>
        <v>-5</v>
      </c>
    </row>
    <row r="324" spans="1:10" x14ac:dyDescent="0.25">
      <c r="A324" s="9">
        <v>44398</v>
      </c>
      <c r="B324" s="10" t="s">
        <v>21</v>
      </c>
      <c r="C324" s="10">
        <v>176</v>
      </c>
      <c r="D324" s="10"/>
      <c r="E324" s="10" t="s">
        <v>22</v>
      </c>
      <c r="F324" s="10" t="s">
        <v>17</v>
      </c>
      <c r="G324" s="10" t="s">
        <v>14</v>
      </c>
      <c r="H324" s="10">
        <f>MONTH(Dataset!$A324)</f>
        <v>7</v>
      </c>
      <c r="I324" s="11">
        <f>WEEKDAY(Dataset!$A324)</f>
        <v>4</v>
      </c>
      <c r="J324" s="12">
        <f>Dataset!$D324-Dataset!$C324</f>
        <v>-176</v>
      </c>
    </row>
    <row r="325" spans="1:10" x14ac:dyDescent="0.25">
      <c r="A325" s="13">
        <v>44399</v>
      </c>
      <c r="B325" s="14" t="s">
        <v>43</v>
      </c>
      <c r="C325" s="14">
        <v>43.1</v>
      </c>
      <c r="D325" s="14"/>
      <c r="E325" s="14" t="s">
        <v>32</v>
      </c>
      <c r="F325" s="14" t="s">
        <v>13</v>
      </c>
      <c r="G325" s="14" t="s">
        <v>14</v>
      </c>
      <c r="H325" s="14">
        <f>MONTH(Dataset!$A325)</f>
        <v>7</v>
      </c>
      <c r="I325" s="15">
        <f>WEEKDAY(Dataset!$A325)</f>
        <v>5</v>
      </c>
      <c r="J325" s="16">
        <f>Dataset!$D325-Dataset!$C325</f>
        <v>-43.1</v>
      </c>
    </row>
    <row r="326" spans="1:10" x14ac:dyDescent="0.25">
      <c r="A326" s="9">
        <v>44400</v>
      </c>
      <c r="B326" s="10" t="s">
        <v>44</v>
      </c>
      <c r="C326" s="10">
        <v>18.2</v>
      </c>
      <c r="D326" s="10"/>
      <c r="E326" s="10" t="s">
        <v>32</v>
      </c>
      <c r="F326" s="10" t="s">
        <v>13</v>
      </c>
      <c r="G326" s="10" t="s">
        <v>14</v>
      </c>
      <c r="H326" s="10">
        <f>MONTH(Dataset!$A326)</f>
        <v>7</v>
      </c>
      <c r="I326" s="11">
        <f>WEEKDAY(Dataset!$A326)</f>
        <v>6</v>
      </c>
      <c r="J326" s="12">
        <f>Dataset!$D326-Dataset!$C326</f>
        <v>-18.2</v>
      </c>
    </row>
    <row r="327" spans="1:10" x14ac:dyDescent="0.25">
      <c r="A327" s="13">
        <v>44401</v>
      </c>
      <c r="B327" s="14" t="s">
        <v>45</v>
      </c>
      <c r="C327" s="14">
        <v>55</v>
      </c>
      <c r="D327" s="14"/>
      <c r="E327" s="14" t="s">
        <v>46</v>
      </c>
      <c r="F327" s="14" t="s">
        <v>47</v>
      </c>
      <c r="G327" s="14" t="s">
        <v>14</v>
      </c>
      <c r="H327" s="14">
        <f>MONTH(Dataset!$A327)</f>
        <v>7</v>
      </c>
      <c r="I327" s="15">
        <f>WEEKDAY(Dataset!$A327)</f>
        <v>7</v>
      </c>
      <c r="J327" s="16">
        <f>Dataset!$D327-Dataset!$C327</f>
        <v>-55</v>
      </c>
    </row>
    <row r="328" spans="1:10" x14ac:dyDescent="0.25">
      <c r="A328" s="9">
        <v>44401</v>
      </c>
      <c r="B328" s="10" t="s">
        <v>25</v>
      </c>
      <c r="C328" s="10">
        <v>68.800000000000011</v>
      </c>
      <c r="D328" s="10"/>
      <c r="E328" s="10" t="s">
        <v>48</v>
      </c>
      <c r="F328" s="10" t="s">
        <v>20</v>
      </c>
      <c r="G328" s="10" t="s">
        <v>14</v>
      </c>
      <c r="H328" s="10">
        <f>MONTH(Dataset!$A328)</f>
        <v>7</v>
      </c>
      <c r="I328" s="11">
        <f>WEEKDAY(Dataset!$A328)</f>
        <v>7</v>
      </c>
      <c r="J328" s="12">
        <f>Dataset!$D328-Dataset!$C328</f>
        <v>-68.800000000000011</v>
      </c>
    </row>
    <row r="329" spans="1:10" x14ac:dyDescent="0.25">
      <c r="A329" s="13">
        <v>44401</v>
      </c>
      <c r="B329" s="14" t="s">
        <v>11</v>
      </c>
      <c r="C329" s="14">
        <v>5</v>
      </c>
      <c r="D329" s="14"/>
      <c r="E329" s="14" t="s">
        <v>12</v>
      </c>
      <c r="F329" s="14" t="s">
        <v>13</v>
      </c>
      <c r="G329" s="14" t="s">
        <v>14</v>
      </c>
      <c r="H329" s="14">
        <f>MONTH(Dataset!$A329)</f>
        <v>7</v>
      </c>
      <c r="I329" s="15">
        <f>WEEKDAY(Dataset!$A329)</f>
        <v>7</v>
      </c>
      <c r="J329" s="16">
        <f>Dataset!$D329-Dataset!$C329</f>
        <v>-5</v>
      </c>
    </row>
    <row r="330" spans="1:10" x14ac:dyDescent="0.25">
      <c r="A330" s="9">
        <v>44402</v>
      </c>
      <c r="B330" s="10" t="s">
        <v>11</v>
      </c>
      <c r="C330" s="10">
        <v>5</v>
      </c>
      <c r="D330" s="10"/>
      <c r="E330" s="10" t="s">
        <v>12</v>
      </c>
      <c r="F330" s="10" t="s">
        <v>13</v>
      </c>
      <c r="G330" s="10" t="s">
        <v>14</v>
      </c>
      <c r="H330" s="10">
        <f>MONTH(Dataset!$A330)</f>
        <v>7</v>
      </c>
      <c r="I330" s="11">
        <f>WEEKDAY(Dataset!$A330)</f>
        <v>1</v>
      </c>
      <c r="J330" s="12">
        <f>Dataset!$D330-Dataset!$C330</f>
        <v>-5</v>
      </c>
    </row>
    <row r="331" spans="1:10" x14ac:dyDescent="0.25">
      <c r="A331" s="13">
        <v>44403</v>
      </c>
      <c r="B331" s="14" t="s">
        <v>11</v>
      </c>
      <c r="C331" s="14">
        <v>5</v>
      </c>
      <c r="D331" s="14"/>
      <c r="E331" s="14" t="s">
        <v>12</v>
      </c>
      <c r="F331" s="14" t="s">
        <v>13</v>
      </c>
      <c r="G331" s="14" t="s">
        <v>14</v>
      </c>
      <c r="H331" s="14">
        <f>MONTH(Dataset!$A331)</f>
        <v>7</v>
      </c>
      <c r="I331" s="15">
        <f>WEEKDAY(Dataset!$A331)</f>
        <v>2</v>
      </c>
      <c r="J331" s="16">
        <f>Dataset!$D331-Dataset!$C331</f>
        <v>-5</v>
      </c>
    </row>
    <row r="332" spans="1:10" x14ac:dyDescent="0.25">
      <c r="A332" s="9">
        <v>44404</v>
      </c>
      <c r="B332" s="10" t="s">
        <v>11</v>
      </c>
      <c r="C332" s="10">
        <v>5</v>
      </c>
      <c r="D332" s="10"/>
      <c r="E332" s="10" t="s">
        <v>12</v>
      </c>
      <c r="F332" s="10" t="s">
        <v>13</v>
      </c>
      <c r="G332" s="10" t="s">
        <v>14</v>
      </c>
      <c r="H332" s="10">
        <f>MONTH(Dataset!$A332)</f>
        <v>7</v>
      </c>
      <c r="I332" s="11">
        <f>WEEKDAY(Dataset!$A332)</f>
        <v>3</v>
      </c>
      <c r="J332" s="12">
        <f>Dataset!$D332-Dataset!$C332</f>
        <v>-5</v>
      </c>
    </row>
    <row r="333" spans="1:10" x14ac:dyDescent="0.25">
      <c r="A333" s="13">
        <v>44405</v>
      </c>
      <c r="B333" s="14" t="s">
        <v>11</v>
      </c>
      <c r="C333" s="14">
        <v>5</v>
      </c>
      <c r="D333" s="14"/>
      <c r="E333" s="14" t="s">
        <v>12</v>
      </c>
      <c r="F333" s="14" t="s">
        <v>13</v>
      </c>
      <c r="G333" s="14" t="s">
        <v>14</v>
      </c>
      <c r="H333" s="14">
        <f>MONTH(Dataset!$A333)</f>
        <v>7</v>
      </c>
      <c r="I333" s="15">
        <f>WEEKDAY(Dataset!$A333)</f>
        <v>4</v>
      </c>
      <c r="J333" s="16">
        <f>Dataset!$D333-Dataset!$C333</f>
        <v>-5</v>
      </c>
    </row>
    <row r="334" spans="1:10" x14ac:dyDescent="0.25">
      <c r="A334" s="9">
        <v>44405</v>
      </c>
      <c r="B334" s="10" t="s">
        <v>21</v>
      </c>
      <c r="C334" s="10">
        <v>193</v>
      </c>
      <c r="D334" s="10"/>
      <c r="E334" s="10" t="s">
        <v>22</v>
      </c>
      <c r="F334" s="10" t="s">
        <v>17</v>
      </c>
      <c r="G334" s="10" t="s">
        <v>14</v>
      </c>
      <c r="H334" s="10">
        <f>MONTH(Dataset!$A334)</f>
        <v>7</v>
      </c>
      <c r="I334" s="11">
        <f>WEEKDAY(Dataset!$A334)</f>
        <v>4</v>
      </c>
      <c r="J334" s="12">
        <f>Dataset!$D334-Dataset!$C334</f>
        <v>-193</v>
      </c>
    </row>
    <row r="335" spans="1:10" x14ac:dyDescent="0.25">
      <c r="A335" s="13">
        <v>44406</v>
      </c>
      <c r="B335" s="14" t="s">
        <v>49</v>
      </c>
      <c r="C335" s="14">
        <v>130.80000000000001</v>
      </c>
      <c r="D335" s="14"/>
      <c r="E335" s="14" t="s">
        <v>30</v>
      </c>
      <c r="F335" s="14" t="s">
        <v>28</v>
      </c>
      <c r="G335" s="14" t="s">
        <v>14</v>
      </c>
      <c r="H335" s="14">
        <f>MONTH(Dataset!$A335)</f>
        <v>7</v>
      </c>
      <c r="I335" s="15">
        <f>WEEKDAY(Dataset!$A335)</f>
        <v>5</v>
      </c>
      <c r="J335" s="16">
        <f>Dataset!$D335-Dataset!$C335</f>
        <v>-130.80000000000001</v>
      </c>
    </row>
    <row r="336" spans="1:10" x14ac:dyDescent="0.25">
      <c r="A336" s="9">
        <v>44406</v>
      </c>
      <c r="B336" s="10" t="s">
        <v>58</v>
      </c>
      <c r="C336" s="10">
        <v>181.39999999999998</v>
      </c>
      <c r="D336" s="10"/>
      <c r="E336" s="10" t="s">
        <v>59</v>
      </c>
      <c r="F336" s="10" t="s">
        <v>28</v>
      </c>
      <c r="G336" s="10" t="s">
        <v>14</v>
      </c>
      <c r="H336" s="10">
        <f>MONTH(Dataset!$A336)</f>
        <v>7</v>
      </c>
      <c r="I336" s="11">
        <f>WEEKDAY(Dataset!$A336)</f>
        <v>5</v>
      </c>
      <c r="J336" s="12">
        <f>Dataset!$D336-Dataset!$C336</f>
        <v>-181.39999999999998</v>
      </c>
    </row>
    <row r="337" spans="1:10" x14ac:dyDescent="0.25">
      <c r="A337" s="13">
        <v>44407</v>
      </c>
      <c r="B337" s="14" t="s">
        <v>29</v>
      </c>
      <c r="C337" s="14">
        <v>151.19999999999999</v>
      </c>
      <c r="D337" s="14"/>
      <c r="E337" s="14" t="s">
        <v>30</v>
      </c>
      <c r="F337" s="14" t="s">
        <v>28</v>
      </c>
      <c r="G337" s="14" t="s">
        <v>14</v>
      </c>
      <c r="H337" s="14">
        <f>MONTH(Dataset!$A337)</f>
        <v>7</v>
      </c>
      <c r="I337" s="15">
        <f>WEEKDAY(Dataset!$A337)</f>
        <v>6</v>
      </c>
      <c r="J337" s="16">
        <f>Dataset!$D337-Dataset!$C337</f>
        <v>-151.19999999999999</v>
      </c>
    </row>
    <row r="338" spans="1:10" x14ac:dyDescent="0.25">
      <c r="A338" s="9">
        <v>44407</v>
      </c>
      <c r="B338" s="10" t="s">
        <v>33</v>
      </c>
      <c r="C338" s="10">
        <v>29.300000000000004</v>
      </c>
      <c r="D338" s="10"/>
      <c r="E338" s="10" t="s">
        <v>34</v>
      </c>
      <c r="F338" s="10" t="s">
        <v>20</v>
      </c>
      <c r="G338" s="10" t="s">
        <v>14</v>
      </c>
      <c r="H338" s="10">
        <f>MONTH(Dataset!$A338)</f>
        <v>7</v>
      </c>
      <c r="I338" s="11">
        <f>WEEKDAY(Dataset!$A338)</f>
        <v>6</v>
      </c>
      <c r="J338" s="12">
        <f>Dataset!$D338-Dataset!$C338</f>
        <v>-29.300000000000004</v>
      </c>
    </row>
    <row r="339" spans="1:10" x14ac:dyDescent="0.25">
      <c r="A339" s="13">
        <v>44407</v>
      </c>
      <c r="B339" s="14" t="s">
        <v>56</v>
      </c>
      <c r="C339" s="14">
        <v>15</v>
      </c>
      <c r="D339" s="14"/>
      <c r="E339" s="14" t="s">
        <v>32</v>
      </c>
      <c r="F339" s="14" t="s">
        <v>13</v>
      </c>
      <c r="G339" s="14" t="s">
        <v>14</v>
      </c>
      <c r="H339" s="14">
        <f>MONTH(Dataset!$A339)</f>
        <v>7</v>
      </c>
      <c r="I339" s="15">
        <f>WEEKDAY(Dataset!$A339)</f>
        <v>6</v>
      </c>
      <c r="J339" s="16">
        <f>Dataset!$D339-Dataset!$C339</f>
        <v>-15</v>
      </c>
    </row>
    <row r="340" spans="1:10" x14ac:dyDescent="0.25">
      <c r="A340" s="9">
        <v>44408</v>
      </c>
      <c r="B340" s="10" t="s">
        <v>11</v>
      </c>
      <c r="C340" s="10">
        <v>5</v>
      </c>
      <c r="D340" s="10"/>
      <c r="E340" s="10" t="s">
        <v>12</v>
      </c>
      <c r="F340" s="10" t="s">
        <v>13</v>
      </c>
      <c r="G340" s="10" t="s">
        <v>14</v>
      </c>
      <c r="H340" s="10">
        <f>MONTH(Dataset!$A340)</f>
        <v>7</v>
      </c>
      <c r="I340" s="11">
        <f>WEEKDAY(Dataset!$A340)</f>
        <v>7</v>
      </c>
      <c r="J340" s="12">
        <f>Dataset!$D340-Dataset!$C340</f>
        <v>-5</v>
      </c>
    </row>
    <row r="341" spans="1:10" x14ac:dyDescent="0.25">
      <c r="A341" s="13">
        <v>44410</v>
      </c>
      <c r="B341" s="14" t="s">
        <v>11</v>
      </c>
      <c r="C341" s="14">
        <v>5</v>
      </c>
      <c r="D341" s="14"/>
      <c r="E341" s="14" t="s">
        <v>12</v>
      </c>
      <c r="F341" s="14" t="s">
        <v>13</v>
      </c>
      <c r="G341" s="14" t="s">
        <v>14</v>
      </c>
      <c r="H341" s="14">
        <f>MONTH(Dataset!$A341)</f>
        <v>8</v>
      </c>
      <c r="I341" s="15">
        <f>WEEKDAY(Dataset!$A341)</f>
        <v>2</v>
      </c>
      <c r="J341" s="16">
        <f>Dataset!$D341-Dataset!$C341</f>
        <v>-5</v>
      </c>
    </row>
    <row r="342" spans="1:10" x14ac:dyDescent="0.25">
      <c r="A342" s="9">
        <v>44410</v>
      </c>
      <c r="B342" s="10" t="s">
        <v>7</v>
      </c>
      <c r="C342" s="10"/>
      <c r="D342" s="10">
        <v>5000</v>
      </c>
      <c r="E342" s="10" t="s">
        <v>8</v>
      </c>
      <c r="F342" s="10" t="s">
        <v>9</v>
      </c>
      <c r="G342" s="10" t="s">
        <v>10</v>
      </c>
      <c r="H342" s="10">
        <f>MONTH(Dataset!$A342)</f>
        <v>8</v>
      </c>
      <c r="I342" s="11">
        <f>WEEKDAY(Dataset!$A342)</f>
        <v>2</v>
      </c>
      <c r="J342" s="12">
        <f>Dataset!$D342-Dataset!$C342</f>
        <v>5000</v>
      </c>
    </row>
    <row r="343" spans="1:10" x14ac:dyDescent="0.25">
      <c r="A343" s="13">
        <v>44411</v>
      </c>
      <c r="B343" s="14" t="s">
        <v>11</v>
      </c>
      <c r="C343" s="14">
        <v>5</v>
      </c>
      <c r="D343" s="14"/>
      <c r="E343" s="14" t="s">
        <v>12</v>
      </c>
      <c r="F343" s="14" t="s">
        <v>13</v>
      </c>
      <c r="G343" s="14" t="s">
        <v>14</v>
      </c>
      <c r="H343" s="14">
        <f>MONTH(Dataset!$A343)</f>
        <v>8</v>
      </c>
      <c r="I343" s="15">
        <f>WEEKDAY(Dataset!$A343)</f>
        <v>3</v>
      </c>
      <c r="J343" s="16">
        <f>Dataset!$D343-Dataset!$C343</f>
        <v>-5</v>
      </c>
    </row>
    <row r="344" spans="1:10" x14ac:dyDescent="0.25">
      <c r="A344" s="9">
        <v>44413</v>
      </c>
      <c r="B344" s="10" t="s">
        <v>15</v>
      </c>
      <c r="C344" s="10">
        <v>900</v>
      </c>
      <c r="D344" s="10"/>
      <c r="E344" s="10" t="s">
        <v>16</v>
      </c>
      <c r="F344" s="10" t="s">
        <v>17</v>
      </c>
      <c r="G344" s="10" t="s">
        <v>14</v>
      </c>
      <c r="H344" s="10">
        <f>MONTH(Dataset!$A344)</f>
        <v>8</v>
      </c>
      <c r="I344" s="11">
        <f>WEEKDAY(Dataset!$A344)</f>
        <v>5</v>
      </c>
      <c r="J344" s="12">
        <f>Dataset!$D344-Dataset!$C344</f>
        <v>-900</v>
      </c>
    </row>
    <row r="345" spans="1:10" x14ac:dyDescent="0.25">
      <c r="A345" s="13">
        <v>44413</v>
      </c>
      <c r="B345" s="14" t="s">
        <v>18</v>
      </c>
      <c r="C345" s="14">
        <v>150</v>
      </c>
      <c r="D345" s="14"/>
      <c r="E345" s="14" t="s">
        <v>19</v>
      </c>
      <c r="F345" s="14" t="s">
        <v>20</v>
      </c>
      <c r="G345" s="14" t="s">
        <v>14</v>
      </c>
      <c r="H345" s="14">
        <f>MONTH(Dataset!$A345)</f>
        <v>8</v>
      </c>
      <c r="I345" s="15">
        <f>WEEKDAY(Dataset!$A345)</f>
        <v>5</v>
      </c>
      <c r="J345" s="16">
        <f>Dataset!$D345-Dataset!$C345</f>
        <v>-150</v>
      </c>
    </row>
    <row r="346" spans="1:10" x14ac:dyDescent="0.25">
      <c r="A346" s="9">
        <v>44413</v>
      </c>
      <c r="B346" s="10" t="s">
        <v>11</v>
      </c>
      <c r="C346" s="10">
        <v>5</v>
      </c>
      <c r="D346" s="10"/>
      <c r="E346" s="10" t="s">
        <v>12</v>
      </c>
      <c r="F346" s="10" t="s">
        <v>13</v>
      </c>
      <c r="G346" s="10" t="s">
        <v>14</v>
      </c>
      <c r="H346" s="10">
        <f>MONTH(Dataset!$A346)</f>
        <v>8</v>
      </c>
      <c r="I346" s="11">
        <f>WEEKDAY(Dataset!$A346)</f>
        <v>5</v>
      </c>
      <c r="J346" s="12">
        <f>Dataset!$D346-Dataset!$C346</f>
        <v>-5</v>
      </c>
    </row>
    <row r="347" spans="1:10" x14ac:dyDescent="0.25">
      <c r="A347" s="13">
        <v>44413</v>
      </c>
      <c r="B347" s="14" t="s">
        <v>11</v>
      </c>
      <c r="C347" s="14">
        <v>5</v>
      </c>
      <c r="D347" s="14"/>
      <c r="E347" s="14" t="s">
        <v>12</v>
      </c>
      <c r="F347" s="14" t="s">
        <v>13</v>
      </c>
      <c r="G347" s="14" t="s">
        <v>14</v>
      </c>
      <c r="H347" s="14">
        <f>MONTH(Dataset!$A347)</f>
        <v>8</v>
      </c>
      <c r="I347" s="15">
        <f>WEEKDAY(Dataset!$A347)</f>
        <v>5</v>
      </c>
      <c r="J347" s="16">
        <f>Dataset!$D347-Dataset!$C347</f>
        <v>-5</v>
      </c>
    </row>
    <row r="348" spans="1:10" x14ac:dyDescent="0.25">
      <c r="A348" s="9">
        <v>44414</v>
      </c>
      <c r="B348" s="10" t="s">
        <v>11</v>
      </c>
      <c r="C348" s="10">
        <v>5</v>
      </c>
      <c r="D348" s="10"/>
      <c r="E348" s="10" t="s">
        <v>12</v>
      </c>
      <c r="F348" s="10" t="s">
        <v>13</v>
      </c>
      <c r="G348" s="10" t="s">
        <v>14</v>
      </c>
      <c r="H348" s="10">
        <f>MONTH(Dataset!$A348)</f>
        <v>8</v>
      </c>
      <c r="I348" s="11">
        <f>WEEKDAY(Dataset!$A348)</f>
        <v>6</v>
      </c>
      <c r="J348" s="12">
        <f>Dataset!$D348-Dataset!$C348</f>
        <v>-5</v>
      </c>
    </row>
    <row r="349" spans="1:10" x14ac:dyDescent="0.25">
      <c r="A349" s="13">
        <v>44415</v>
      </c>
      <c r="B349" s="14" t="s">
        <v>11</v>
      </c>
      <c r="C349" s="14">
        <v>5</v>
      </c>
      <c r="D349" s="14"/>
      <c r="E349" s="14" t="s">
        <v>12</v>
      </c>
      <c r="F349" s="14" t="s">
        <v>13</v>
      </c>
      <c r="G349" s="14" t="s">
        <v>14</v>
      </c>
      <c r="H349" s="14">
        <f>MONTH(Dataset!$A349)</f>
        <v>8</v>
      </c>
      <c r="I349" s="15">
        <f>WEEKDAY(Dataset!$A349)</f>
        <v>7</v>
      </c>
      <c r="J349" s="16">
        <f>Dataset!$D349-Dataset!$C349</f>
        <v>-5</v>
      </c>
    </row>
    <row r="350" spans="1:10" x14ac:dyDescent="0.25">
      <c r="A350" s="9">
        <v>44415</v>
      </c>
      <c r="B350" s="10" t="s">
        <v>21</v>
      </c>
      <c r="C350" s="10">
        <v>137</v>
      </c>
      <c r="D350" s="10"/>
      <c r="E350" s="10" t="s">
        <v>22</v>
      </c>
      <c r="F350" s="10" t="s">
        <v>17</v>
      </c>
      <c r="G350" s="10" t="s">
        <v>14</v>
      </c>
      <c r="H350" s="10">
        <f>MONTH(Dataset!$A350)</f>
        <v>8</v>
      </c>
      <c r="I350" s="11">
        <f>WEEKDAY(Dataset!$A350)</f>
        <v>7</v>
      </c>
      <c r="J350" s="12">
        <f>Dataset!$D350-Dataset!$C350</f>
        <v>-137</v>
      </c>
    </row>
    <row r="351" spans="1:10" x14ac:dyDescent="0.25">
      <c r="A351" s="13">
        <v>44418</v>
      </c>
      <c r="B351" s="14" t="s">
        <v>23</v>
      </c>
      <c r="C351" s="14">
        <v>57</v>
      </c>
      <c r="D351" s="14"/>
      <c r="E351" s="14" t="s">
        <v>24</v>
      </c>
      <c r="F351" s="14" t="s">
        <v>17</v>
      </c>
      <c r="G351" s="14" t="s">
        <v>14</v>
      </c>
      <c r="H351" s="14">
        <f>MONTH(Dataset!$A351)</f>
        <v>8</v>
      </c>
      <c r="I351" s="15">
        <f>WEEKDAY(Dataset!$A351)</f>
        <v>3</v>
      </c>
      <c r="J351" s="16">
        <f>Dataset!$D351-Dataset!$C351</f>
        <v>-57</v>
      </c>
    </row>
    <row r="352" spans="1:10" x14ac:dyDescent="0.25">
      <c r="A352" s="9">
        <v>44418</v>
      </c>
      <c r="B352" s="10" t="s">
        <v>11</v>
      </c>
      <c r="C352" s="10">
        <v>5</v>
      </c>
      <c r="D352" s="10"/>
      <c r="E352" s="10" t="s">
        <v>12</v>
      </c>
      <c r="F352" s="10" t="s">
        <v>13</v>
      </c>
      <c r="G352" s="10" t="s">
        <v>14</v>
      </c>
      <c r="H352" s="10">
        <f>MONTH(Dataset!$A352)</f>
        <v>8</v>
      </c>
      <c r="I352" s="11">
        <f>WEEKDAY(Dataset!$A352)</f>
        <v>3</v>
      </c>
      <c r="J352" s="12">
        <f>Dataset!$D352-Dataset!$C352</f>
        <v>-5</v>
      </c>
    </row>
    <row r="353" spans="1:10" x14ac:dyDescent="0.25">
      <c r="A353" s="13">
        <v>44419</v>
      </c>
      <c r="B353" s="14" t="s">
        <v>11</v>
      </c>
      <c r="C353" s="14">
        <v>5</v>
      </c>
      <c r="D353" s="14"/>
      <c r="E353" s="14" t="s">
        <v>12</v>
      </c>
      <c r="F353" s="14" t="s">
        <v>13</v>
      </c>
      <c r="G353" s="14" t="s">
        <v>14</v>
      </c>
      <c r="H353" s="14">
        <f>MONTH(Dataset!$A353)</f>
        <v>8</v>
      </c>
      <c r="I353" s="15">
        <f>WEEKDAY(Dataset!$A353)</f>
        <v>4</v>
      </c>
      <c r="J353" s="16">
        <f>Dataset!$D353-Dataset!$C353</f>
        <v>-5</v>
      </c>
    </row>
    <row r="354" spans="1:10" x14ac:dyDescent="0.25">
      <c r="A354" s="9">
        <v>44420</v>
      </c>
      <c r="B354" s="10" t="s">
        <v>25</v>
      </c>
      <c r="C354" s="10">
        <v>84.199999999999989</v>
      </c>
      <c r="D354" s="10"/>
      <c r="E354" s="10" t="s">
        <v>48</v>
      </c>
      <c r="F354" s="10" t="s">
        <v>20</v>
      </c>
      <c r="G354" s="10" t="s">
        <v>14</v>
      </c>
      <c r="H354" s="10">
        <f>MONTH(Dataset!$A354)</f>
        <v>8</v>
      </c>
      <c r="I354" s="11">
        <f>WEEKDAY(Dataset!$A354)</f>
        <v>5</v>
      </c>
      <c r="J354" s="12">
        <f>Dataset!$D354-Dataset!$C354</f>
        <v>-84.199999999999989</v>
      </c>
    </row>
    <row r="355" spans="1:10" x14ac:dyDescent="0.25">
      <c r="A355" s="13">
        <v>44420</v>
      </c>
      <c r="B355" s="14" t="s">
        <v>11</v>
      </c>
      <c r="C355" s="14">
        <v>5</v>
      </c>
      <c r="D355" s="14"/>
      <c r="E355" s="14" t="s">
        <v>12</v>
      </c>
      <c r="F355" s="14" t="s">
        <v>13</v>
      </c>
      <c r="G355" s="14" t="s">
        <v>14</v>
      </c>
      <c r="H355" s="14">
        <f>MONTH(Dataset!$A355)</f>
        <v>8</v>
      </c>
      <c r="I355" s="15">
        <f>WEEKDAY(Dataset!$A355)</f>
        <v>5</v>
      </c>
      <c r="J355" s="16">
        <f>Dataset!$D355-Dataset!$C355</f>
        <v>-5</v>
      </c>
    </row>
    <row r="356" spans="1:10" x14ac:dyDescent="0.25">
      <c r="A356" s="9">
        <v>44421</v>
      </c>
      <c r="B356" s="10" t="s">
        <v>11</v>
      </c>
      <c r="C356" s="10">
        <v>5</v>
      </c>
      <c r="D356" s="10"/>
      <c r="E356" s="10" t="s">
        <v>12</v>
      </c>
      <c r="F356" s="10" t="s">
        <v>13</v>
      </c>
      <c r="G356" s="10" t="s">
        <v>14</v>
      </c>
      <c r="H356" s="10">
        <f>MONTH(Dataset!$A356)</f>
        <v>8</v>
      </c>
      <c r="I356" s="11">
        <f>WEEKDAY(Dataset!$A356)</f>
        <v>6</v>
      </c>
      <c r="J356" s="12">
        <f>Dataset!$D356-Dataset!$C356</f>
        <v>-5</v>
      </c>
    </row>
    <row r="357" spans="1:10" x14ac:dyDescent="0.25">
      <c r="A357" s="13">
        <v>44422</v>
      </c>
      <c r="B357" s="14" t="s">
        <v>21</v>
      </c>
      <c r="C357" s="14">
        <v>142.1</v>
      </c>
      <c r="D357" s="14"/>
      <c r="E357" s="14" t="s">
        <v>22</v>
      </c>
      <c r="F357" s="14" t="s">
        <v>17</v>
      </c>
      <c r="G357" s="14" t="s">
        <v>14</v>
      </c>
      <c r="H357" s="14">
        <f>MONTH(Dataset!$A357)</f>
        <v>8</v>
      </c>
      <c r="I357" s="15">
        <f>WEEKDAY(Dataset!$A357)</f>
        <v>7</v>
      </c>
      <c r="J357" s="16">
        <f>Dataset!$D357-Dataset!$C357</f>
        <v>-142.1</v>
      </c>
    </row>
    <row r="358" spans="1:10" x14ac:dyDescent="0.25">
      <c r="A358" s="9">
        <v>44422</v>
      </c>
      <c r="B358" s="10" t="s">
        <v>11</v>
      </c>
      <c r="C358" s="10">
        <v>5</v>
      </c>
      <c r="D358" s="10"/>
      <c r="E358" s="10" t="s">
        <v>12</v>
      </c>
      <c r="F358" s="10" t="s">
        <v>13</v>
      </c>
      <c r="G358" s="10" t="s">
        <v>14</v>
      </c>
      <c r="H358" s="10">
        <f>MONTH(Dataset!$A358)</f>
        <v>8</v>
      </c>
      <c r="I358" s="11">
        <f>WEEKDAY(Dataset!$A358)</f>
        <v>7</v>
      </c>
      <c r="J358" s="12">
        <f>Dataset!$D358-Dataset!$C358</f>
        <v>-5</v>
      </c>
    </row>
    <row r="359" spans="1:10" x14ac:dyDescent="0.25">
      <c r="A359" s="13">
        <v>44423</v>
      </c>
      <c r="B359" s="14" t="s">
        <v>11</v>
      </c>
      <c r="C359" s="14">
        <v>5</v>
      </c>
      <c r="D359" s="14"/>
      <c r="E359" s="14" t="s">
        <v>12</v>
      </c>
      <c r="F359" s="14" t="s">
        <v>13</v>
      </c>
      <c r="G359" s="14" t="s">
        <v>14</v>
      </c>
      <c r="H359" s="14">
        <f>MONTH(Dataset!$A359)</f>
        <v>8</v>
      </c>
      <c r="I359" s="15">
        <f>WEEKDAY(Dataset!$A359)</f>
        <v>1</v>
      </c>
      <c r="J359" s="16">
        <f>Dataset!$D359-Dataset!$C359</f>
        <v>-5</v>
      </c>
    </row>
    <row r="360" spans="1:10" x14ac:dyDescent="0.25">
      <c r="A360" s="9">
        <v>44423</v>
      </c>
      <c r="B360" s="10" t="s">
        <v>26</v>
      </c>
      <c r="C360" s="10">
        <v>46.8</v>
      </c>
      <c r="D360" s="10"/>
      <c r="E360" s="10" t="s">
        <v>27</v>
      </c>
      <c r="F360" s="10" t="s">
        <v>28</v>
      </c>
      <c r="G360" s="10" t="s">
        <v>14</v>
      </c>
      <c r="H360" s="10">
        <f>MONTH(Dataset!$A360)</f>
        <v>8</v>
      </c>
      <c r="I360" s="11">
        <f>WEEKDAY(Dataset!$A360)</f>
        <v>1</v>
      </c>
      <c r="J360" s="12">
        <f>Dataset!$D360-Dataset!$C360</f>
        <v>-46.8</v>
      </c>
    </row>
    <row r="361" spans="1:10" x14ac:dyDescent="0.25">
      <c r="A361" s="13">
        <v>44423</v>
      </c>
      <c r="B361" s="14" t="s">
        <v>29</v>
      </c>
      <c r="C361" s="14">
        <v>104.70000000000002</v>
      </c>
      <c r="D361" s="14"/>
      <c r="E361" s="14" t="s">
        <v>30</v>
      </c>
      <c r="F361" s="14" t="s">
        <v>28</v>
      </c>
      <c r="G361" s="14" t="s">
        <v>14</v>
      </c>
      <c r="H361" s="14">
        <f>MONTH(Dataset!$A361)</f>
        <v>8</v>
      </c>
      <c r="I361" s="15">
        <f>WEEKDAY(Dataset!$A361)</f>
        <v>1</v>
      </c>
      <c r="J361" s="16">
        <f>Dataset!$D361-Dataset!$C361</f>
        <v>-104.70000000000002</v>
      </c>
    </row>
    <row r="362" spans="1:10" x14ac:dyDescent="0.25">
      <c r="A362" s="9">
        <v>44423</v>
      </c>
      <c r="B362" s="10" t="s">
        <v>31</v>
      </c>
      <c r="C362" s="10">
        <v>59.1</v>
      </c>
      <c r="D362" s="10"/>
      <c r="E362" s="10" t="s">
        <v>32</v>
      </c>
      <c r="F362" s="10" t="s">
        <v>13</v>
      </c>
      <c r="G362" s="10" t="s">
        <v>14</v>
      </c>
      <c r="H362" s="10">
        <f>MONTH(Dataset!$A362)</f>
        <v>8</v>
      </c>
      <c r="I362" s="11">
        <f>WEEKDAY(Dataset!$A362)</f>
        <v>1</v>
      </c>
      <c r="J362" s="12">
        <f>Dataset!$D362-Dataset!$C362</f>
        <v>-59.1</v>
      </c>
    </row>
    <row r="363" spans="1:10" x14ac:dyDescent="0.25">
      <c r="A363" s="13">
        <v>44424</v>
      </c>
      <c r="B363" s="14" t="s">
        <v>33</v>
      </c>
      <c r="C363" s="14">
        <v>35.1</v>
      </c>
      <c r="D363" s="14"/>
      <c r="E363" s="14" t="s">
        <v>34</v>
      </c>
      <c r="F363" s="14" t="s">
        <v>20</v>
      </c>
      <c r="G363" s="14" t="s">
        <v>14</v>
      </c>
      <c r="H363" s="14">
        <f>MONTH(Dataset!$A363)</f>
        <v>8</v>
      </c>
      <c r="I363" s="15">
        <f>WEEKDAY(Dataset!$A363)</f>
        <v>2</v>
      </c>
      <c r="J363" s="16">
        <f>Dataset!$D363-Dataset!$C363</f>
        <v>-35.1</v>
      </c>
    </row>
    <row r="364" spans="1:10" x14ac:dyDescent="0.25">
      <c r="A364" s="9">
        <v>44425</v>
      </c>
      <c r="B364" s="10" t="s">
        <v>35</v>
      </c>
      <c r="C364" s="10"/>
      <c r="D364" s="10">
        <v>800</v>
      </c>
      <c r="E364" s="10" t="s">
        <v>36</v>
      </c>
      <c r="F364" s="10" t="s">
        <v>37</v>
      </c>
      <c r="G364" s="10" t="s">
        <v>10</v>
      </c>
      <c r="H364" s="10">
        <f>MONTH(Dataset!$A364)</f>
        <v>8</v>
      </c>
      <c r="I364" s="11">
        <f>WEEKDAY(Dataset!$A364)</f>
        <v>3</v>
      </c>
      <c r="J364" s="12">
        <f>Dataset!$D364-Dataset!$C364</f>
        <v>800</v>
      </c>
    </row>
    <row r="365" spans="1:10" x14ac:dyDescent="0.25">
      <c r="A365" s="13">
        <v>44425</v>
      </c>
      <c r="B365" s="14" t="s">
        <v>11</v>
      </c>
      <c r="C365" s="14">
        <v>5</v>
      </c>
      <c r="D365" s="14"/>
      <c r="E365" s="14" t="s">
        <v>12</v>
      </c>
      <c r="F365" s="14" t="s">
        <v>13</v>
      </c>
      <c r="G365" s="14" t="s">
        <v>14</v>
      </c>
      <c r="H365" s="14">
        <f>MONTH(Dataset!$A365)</f>
        <v>8</v>
      </c>
      <c r="I365" s="15">
        <f>WEEKDAY(Dataset!$A365)</f>
        <v>3</v>
      </c>
      <c r="J365" s="16">
        <f>Dataset!$D365-Dataset!$C365</f>
        <v>-5</v>
      </c>
    </row>
    <row r="366" spans="1:10" x14ac:dyDescent="0.25">
      <c r="A366" s="9">
        <v>44426</v>
      </c>
      <c r="B366" s="10" t="s">
        <v>11</v>
      </c>
      <c r="C366" s="10">
        <v>5</v>
      </c>
      <c r="D366" s="10"/>
      <c r="E366" s="10" t="s">
        <v>12</v>
      </c>
      <c r="F366" s="10" t="s">
        <v>13</v>
      </c>
      <c r="G366" s="10" t="s">
        <v>14</v>
      </c>
      <c r="H366" s="10">
        <f>MONTH(Dataset!$A366)</f>
        <v>8</v>
      </c>
      <c r="I366" s="11">
        <f>WEEKDAY(Dataset!$A366)</f>
        <v>4</v>
      </c>
      <c r="J366" s="12">
        <f>Dataset!$D366-Dataset!$C366</f>
        <v>-5</v>
      </c>
    </row>
    <row r="367" spans="1:10" x14ac:dyDescent="0.25">
      <c r="A367" s="13">
        <v>44426</v>
      </c>
      <c r="B367" s="14" t="s">
        <v>39</v>
      </c>
      <c r="C367" s="14">
        <v>40</v>
      </c>
      <c r="D367" s="14"/>
      <c r="E367" s="14" t="s">
        <v>39</v>
      </c>
      <c r="F367" s="14" t="s">
        <v>17</v>
      </c>
      <c r="G367" s="14" t="s">
        <v>14</v>
      </c>
      <c r="H367" s="14">
        <f>MONTH(Dataset!$A367)</f>
        <v>8</v>
      </c>
      <c r="I367" s="15">
        <f>WEEKDAY(Dataset!$A367)</f>
        <v>4</v>
      </c>
      <c r="J367" s="16">
        <f>Dataset!$D367-Dataset!$C367</f>
        <v>-40</v>
      </c>
    </row>
    <row r="368" spans="1:10" x14ac:dyDescent="0.25">
      <c r="A368" s="9">
        <v>44427</v>
      </c>
      <c r="B368" s="10" t="s">
        <v>40</v>
      </c>
      <c r="C368" s="10">
        <v>52.1</v>
      </c>
      <c r="D368" s="10"/>
      <c r="E368" s="10" t="s">
        <v>41</v>
      </c>
      <c r="F368" s="10" t="s">
        <v>28</v>
      </c>
      <c r="G368" s="10" t="s">
        <v>14</v>
      </c>
      <c r="H368" s="10">
        <f>MONTH(Dataset!$A368)</f>
        <v>8</v>
      </c>
      <c r="I368" s="11">
        <f>WEEKDAY(Dataset!$A368)</f>
        <v>5</v>
      </c>
      <c r="J368" s="12">
        <f>Dataset!$D368-Dataset!$C368</f>
        <v>-52.1</v>
      </c>
    </row>
    <row r="369" spans="1:10" x14ac:dyDescent="0.25">
      <c r="A369" s="13">
        <v>44427</v>
      </c>
      <c r="B369" s="14" t="s">
        <v>42</v>
      </c>
      <c r="C369" s="14">
        <v>35</v>
      </c>
      <c r="D369" s="14"/>
      <c r="E369" s="14" t="s">
        <v>27</v>
      </c>
      <c r="F369" s="14" t="s">
        <v>28</v>
      </c>
      <c r="G369" s="14" t="s">
        <v>14</v>
      </c>
      <c r="H369" s="14">
        <f>MONTH(Dataset!$A369)</f>
        <v>8</v>
      </c>
      <c r="I369" s="15">
        <f>WEEKDAY(Dataset!$A369)</f>
        <v>5</v>
      </c>
      <c r="J369" s="16">
        <f>Dataset!$D369-Dataset!$C369</f>
        <v>-35</v>
      </c>
    </row>
    <row r="370" spans="1:10" x14ac:dyDescent="0.25">
      <c r="A370" s="9">
        <v>44427</v>
      </c>
      <c r="B370" s="10" t="s">
        <v>11</v>
      </c>
      <c r="C370" s="10">
        <v>5</v>
      </c>
      <c r="D370" s="10"/>
      <c r="E370" s="10" t="s">
        <v>12</v>
      </c>
      <c r="F370" s="10" t="s">
        <v>13</v>
      </c>
      <c r="G370" s="10" t="s">
        <v>14</v>
      </c>
      <c r="H370" s="10">
        <f>MONTH(Dataset!$A370)</f>
        <v>8</v>
      </c>
      <c r="I370" s="11">
        <f>WEEKDAY(Dataset!$A370)</f>
        <v>5</v>
      </c>
      <c r="J370" s="12">
        <f>Dataset!$D370-Dataset!$C370</f>
        <v>-5</v>
      </c>
    </row>
    <row r="371" spans="1:10" x14ac:dyDescent="0.25">
      <c r="A371" s="13">
        <v>44428</v>
      </c>
      <c r="B371" s="14" t="s">
        <v>11</v>
      </c>
      <c r="C371" s="14">
        <v>5</v>
      </c>
      <c r="D371" s="14"/>
      <c r="E371" s="14" t="s">
        <v>12</v>
      </c>
      <c r="F371" s="14" t="s">
        <v>13</v>
      </c>
      <c r="G371" s="14" t="s">
        <v>14</v>
      </c>
      <c r="H371" s="14">
        <f>MONTH(Dataset!$A371)</f>
        <v>8</v>
      </c>
      <c r="I371" s="15">
        <f>WEEKDAY(Dataset!$A371)</f>
        <v>6</v>
      </c>
      <c r="J371" s="16">
        <f>Dataset!$D371-Dataset!$C371</f>
        <v>-5</v>
      </c>
    </row>
    <row r="372" spans="1:10" x14ac:dyDescent="0.25">
      <c r="A372" s="9">
        <v>44429</v>
      </c>
      <c r="B372" s="10" t="s">
        <v>11</v>
      </c>
      <c r="C372" s="10">
        <v>5</v>
      </c>
      <c r="D372" s="10"/>
      <c r="E372" s="10" t="s">
        <v>12</v>
      </c>
      <c r="F372" s="10" t="s">
        <v>13</v>
      </c>
      <c r="G372" s="10" t="s">
        <v>14</v>
      </c>
      <c r="H372" s="10">
        <f>MONTH(Dataset!$A372)</f>
        <v>8</v>
      </c>
      <c r="I372" s="11">
        <f>WEEKDAY(Dataset!$A372)</f>
        <v>7</v>
      </c>
      <c r="J372" s="12">
        <f>Dataset!$D372-Dataset!$C372</f>
        <v>-5</v>
      </c>
    </row>
    <row r="373" spans="1:10" x14ac:dyDescent="0.25">
      <c r="A373" s="13">
        <v>44429</v>
      </c>
      <c r="B373" s="14" t="s">
        <v>21</v>
      </c>
      <c r="C373" s="14">
        <v>177</v>
      </c>
      <c r="D373" s="14"/>
      <c r="E373" s="14" t="s">
        <v>22</v>
      </c>
      <c r="F373" s="14" t="s">
        <v>17</v>
      </c>
      <c r="G373" s="14" t="s">
        <v>14</v>
      </c>
      <c r="H373" s="14">
        <f>MONTH(Dataset!$A373)</f>
        <v>8</v>
      </c>
      <c r="I373" s="15">
        <f>WEEKDAY(Dataset!$A373)</f>
        <v>7</v>
      </c>
      <c r="J373" s="16">
        <f>Dataset!$D373-Dataset!$C373</f>
        <v>-177</v>
      </c>
    </row>
    <row r="374" spans="1:10" x14ac:dyDescent="0.25">
      <c r="A374" s="9">
        <v>44430</v>
      </c>
      <c r="B374" s="10" t="s">
        <v>43</v>
      </c>
      <c r="C374" s="10">
        <v>44.2</v>
      </c>
      <c r="D374" s="10"/>
      <c r="E374" s="10" t="s">
        <v>32</v>
      </c>
      <c r="F374" s="10" t="s">
        <v>13</v>
      </c>
      <c r="G374" s="10" t="s">
        <v>14</v>
      </c>
      <c r="H374" s="10">
        <f>MONTH(Dataset!$A374)</f>
        <v>8</v>
      </c>
      <c r="I374" s="11">
        <f>WEEKDAY(Dataset!$A374)</f>
        <v>1</v>
      </c>
      <c r="J374" s="12">
        <f>Dataset!$D374-Dataset!$C374</f>
        <v>-44.2</v>
      </c>
    </row>
    <row r="375" spans="1:10" x14ac:dyDescent="0.25">
      <c r="A375" s="13">
        <v>44431</v>
      </c>
      <c r="B375" s="14" t="s">
        <v>44</v>
      </c>
      <c r="C375" s="14">
        <v>19.2</v>
      </c>
      <c r="D375" s="14"/>
      <c r="E375" s="14" t="s">
        <v>32</v>
      </c>
      <c r="F375" s="14" t="s">
        <v>13</v>
      </c>
      <c r="G375" s="14" t="s">
        <v>14</v>
      </c>
      <c r="H375" s="14">
        <f>MONTH(Dataset!$A375)</f>
        <v>8</v>
      </c>
      <c r="I375" s="15">
        <f>WEEKDAY(Dataset!$A375)</f>
        <v>2</v>
      </c>
      <c r="J375" s="16">
        <f>Dataset!$D375-Dataset!$C375</f>
        <v>-19.2</v>
      </c>
    </row>
    <row r="376" spans="1:10" x14ac:dyDescent="0.25">
      <c r="A376" s="9">
        <v>44432</v>
      </c>
      <c r="B376" s="10" t="s">
        <v>45</v>
      </c>
      <c r="C376" s="10">
        <v>55</v>
      </c>
      <c r="D376" s="10"/>
      <c r="E376" s="10" t="s">
        <v>46</v>
      </c>
      <c r="F376" s="10" t="s">
        <v>47</v>
      </c>
      <c r="G376" s="10" t="s">
        <v>14</v>
      </c>
      <c r="H376" s="10">
        <f>MONTH(Dataset!$A376)</f>
        <v>8</v>
      </c>
      <c r="I376" s="11">
        <f>WEEKDAY(Dataset!$A376)</f>
        <v>3</v>
      </c>
      <c r="J376" s="12">
        <f>Dataset!$D376-Dataset!$C376</f>
        <v>-55</v>
      </c>
    </row>
    <row r="377" spans="1:10" x14ac:dyDescent="0.25">
      <c r="A377" s="13">
        <v>44432</v>
      </c>
      <c r="B377" s="14" t="s">
        <v>25</v>
      </c>
      <c r="C377" s="14">
        <v>69.700000000000017</v>
      </c>
      <c r="D377" s="14"/>
      <c r="E377" s="14" t="s">
        <v>48</v>
      </c>
      <c r="F377" s="14" t="s">
        <v>20</v>
      </c>
      <c r="G377" s="14" t="s">
        <v>14</v>
      </c>
      <c r="H377" s="14">
        <f>MONTH(Dataset!$A377)</f>
        <v>8</v>
      </c>
      <c r="I377" s="15">
        <f>WEEKDAY(Dataset!$A377)</f>
        <v>3</v>
      </c>
      <c r="J377" s="16">
        <f>Dataset!$D377-Dataset!$C377</f>
        <v>-69.700000000000017</v>
      </c>
    </row>
    <row r="378" spans="1:10" x14ac:dyDescent="0.25">
      <c r="A378" s="9">
        <v>44432</v>
      </c>
      <c r="B378" s="10" t="s">
        <v>11</v>
      </c>
      <c r="C378" s="10">
        <v>5</v>
      </c>
      <c r="D378" s="10"/>
      <c r="E378" s="10" t="s">
        <v>12</v>
      </c>
      <c r="F378" s="10" t="s">
        <v>13</v>
      </c>
      <c r="G378" s="10" t="s">
        <v>14</v>
      </c>
      <c r="H378" s="10">
        <f>MONTH(Dataset!$A378)</f>
        <v>8</v>
      </c>
      <c r="I378" s="11">
        <f>WEEKDAY(Dataset!$A378)</f>
        <v>3</v>
      </c>
      <c r="J378" s="12">
        <f>Dataset!$D378-Dataset!$C378</f>
        <v>-5</v>
      </c>
    </row>
    <row r="379" spans="1:10" x14ac:dyDescent="0.25">
      <c r="A379" s="13">
        <v>44433</v>
      </c>
      <c r="B379" s="14" t="s">
        <v>11</v>
      </c>
      <c r="C379" s="14">
        <v>5</v>
      </c>
      <c r="D379" s="14"/>
      <c r="E379" s="14" t="s">
        <v>12</v>
      </c>
      <c r="F379" s="14" t="s">
        <v>13</v>
      </c>
      <c r="G379" s="14" t="s">
        <v>14</v>
      </c>
      <c r="H379" s="14">
        <f>MONTH(Dataset!$A379)</f>
        <v>8</v>
      </c>
      <c r="I379" s="15">
        <f>WEEKDAY(Dataset!$A379)</f>
        <v>4</v>
      </c>
      <c r="J379" s="16">
        <f>Dataset!$D379-Dataset!$C379</f>
        <v>-5</v>
      </c>
    </row>
    <row r="380" spans="1:10" x14ac:dyDescent="0.25">
      <c r="A380" s="9">
        <v>44434</v>
      </c>
      <c r="B380" s="10" t="s">
        <v>11</v>
      </c>
      <c r="C380" s="10">
        <v>5</v>
      </c>
      <c r="D380" s="10"/>
      <c r="E380" s="10" t="s">
        <v>12</v>
      </c>
      <c r="F380" s="10" t="s">
        <v>13</v>
      </c>
      <c r="G380" s="10" t="s">
        <v>14</v>
      </c>
      <c r="H380" s="10">
        <f>MONTH(Dataset!$A380)</f>
        <v>8</v>
      </c>
      <c r="I380" s="11">
        <f>WEEKDAY(Dataset!$A380)</f>
        <v>5</v>
      </c>
      <c r="J380" s="12">
        <f>Dataset!$D380-Dataset!$C380</f>
        <v>-5</v>
      </c>
    </row>
    <row r="381" spans="1:10" x14ac:dyDescent="0.25">
      <c r="A381" s="13">
        <v>44435</v>
      </c>
      <c r="B381" s="14" t="s">
        <v>11</v>
      </c>
      <c r="C381" s="14">
        <v>5</v>
      </c>
      <c r="D381" s="14"/>
      <c r="E381" s="14" t="s">
        <v>12</v>
      </c>
      <c r="F381" s="14" t="s">
        <v>13</v>
      </c>
      <c r="G381" s="14" t="s">
        <v>14</v>
      </c>
      <c r="H381" s="14">
        <f>MONTH(Dataset!$A381)</f>
        <v>8</v>
      </c>
      <c r="I381" s="15">
        <f>WEEKDAY(Dataset!$A381)</f>
        <v>6</v>
      </c>
      <c r="J381" s="16">
        <f>Dataset!$D381-Dataset!$C381</f>
        <v>-5</v>
      </c>
    </row>
    <row r="382" spans="1:10" x14ac:dyDescent="0.25">
      <c r="A382" s="9">
        <v>44436</v>
      </c>
      <c r="B382" s="10" t="s">
        <v>11</v>
      </c>
      <c r="C382" s="10">
        <v>5</v>
      </c>
      <c r="D382" s="10"/>
      <c r="E382" s="10" t="s">
        <v>12</v>
      </c>
      <c r="F382" s="10" t="s">
        <v>13</v>
      </c>
      <c r="G382" s="10" t="s">
        <v>14</v>
      </c>
      <c r="H382" s="10">
        <f>MONTH(Dataset!$A382)</f>
        <v>8</v>
      </c>
      <c r="I382" s="11">
        <f>WEEKDAY(Dataset!$A382)</f>
        <v>7</v>
      </c>
      <c r="J382" s="12">
        <f>Dataset!$D382-Dataset!$C382</f>
        <v>-5</v>
      </c>
    </row>
    <row r="383" spans="1:10" x14ac:dyDescent="0.25">
      <c r="A383" s="13">
        <v>44436</v>
      </c>
      <c r="B383" s="14" t="s">
        <v>21</v>
      </c>
      <c r="C383" s="14">
        <v>117</v>
      </c>
      <c r="D383" s="14"/>
      <c r="E383" s="14" t="s">
        <v>22</v>
      </c>
      <c r="F383" s="14" t="s">
        <v>17</v>
      </c>
      <c r="G383" s="14" t="s">
        <v>14</v>
      </c>
      <c r="H383" s="14">
        <f>MONTH(Dataset!$A383)</f>
        <v>8</v>
      </c>
      <c r="I383" s="15">
        <f>WEEKDAY(Dataset!$A383)</f>
        <v>7</v>
      </c>
      <c r="J383" s="16">
        <f>Dataset!$D383-Dataset!$C383</f>
        <v>-117</v>
      </c>
    </row>
    <row r="384" spans="1:10" x14ac:dyDescent="0.25">
      <c r="A384" s="9">
        <v>44437</v>
      </c>
      <c r="B384" s="10" t="s">
        <v>49</v>
      </c>
      <c r="C384" s="10">
        <v>131.9</v>
      </c>
      <c r="D384" s="10"/>
      <c r="E384" s="10" t="s">
        <v>30</v>
      </c>
      <c r="F384" s="10" t="s">
        <v>28</v>
      </c>
      <c r="G384" s="10" t="s">
        <v>14</v>
      </c>
      <c r="H384" s="10">
        <f>MONTH(Dataset!$A384)</f>
        <v>8</v>
      </c>
      <c r="I384" s="11">
        <f>WEEKDAY(Dataset!$A384)</f>
        <v>1</v>
      </c>
      <c r="J384" s="12">
        <f>Dataset!$D384-Dataset!$C384</f>
        <v>-131.9</v>
      </c>
    </row>
    <row r="385" spans="1:10" x14ac:dyDescent="0.25">
      <c r="A385" s="13">
        <v>44437</v>
      </c>
      <c r="B385" s="14" t="s">
        <v>50</v>
      </c>
      <c r="C385" s="14">
        <v>182.39999999999998</v>
      </c>
      <c r="D385" s="14"/>
      <c r="E385" s="14" t="s">
        <v>27</v>
      </c>
      <c r="F385" s="14" t="s">
        <v>28</v>
      </c>
      <c r="G385" s="14" t="s">
        <v>14</v>
      </c>
      <c r="H385" s="14">
        <f>MONTH(Dataset!$A385)</f>
        <v>8</v>
      </c>
      <c r="I385" s="15">
        <f>WEEKDAY(Dataset!$A385)</f>
        <v>1</v>
      </c>
      <c r="J385" s="16">
        <f>Dataset!$D385-Dataset!$C385</f>
        <v>-182.39999999999998</v>
      </c>
    </row>
    <row r="386" spans="1:10" x14ac:dyDescent="0.25">
      <c r="A386" s="9">
        <v>44438</v>
      </c>
      <c r="B386" s="10" t="s">
        <v>29</v>
      </c>
      <c r="C386" s="10">
        <v>152.29999999999998</v>
      </c>
      <c r="D386" s="10"/>
      <c r="E386" s="10" t="s">
        <v>30</v>
      </c>
      <c r="F386" s="10" t="s">
        <v>28</v>
      </c>
      <c r="G386" s="10" t="s">
        <v>14</v>
      </c>
      <c r="H386" s="10">
        <f>MONTH(Dataset!$A386)</f>
        <v>8</v>
      </c>
      <c r="I386" s="11">
        <f>WEEKDAY(Dataset!$A386)</f>
        <v>2</v>
      </c>
      <c r="J386" s="12">
        <f>Dataset!$D386-Dataset!$C386</f>
        <v>-152.29999999999998</v>
      </c>
    </row>
    <row r="387" spans="1:10" x14ac:dyDescent="0.25">
      <c r="A387" s="13">
        <v>44438</v>
      </c>
      <c r="B387" s="14" t="s">
        <v>33</v>
      </c>
      <c r="C387" s="14">
        <v>30.300000000000004</v>
      </c>
      <c r="D387" s="14"/>
      <c r="E387" s="14" t="s">
        <v>34</v>
      </c>
      <c r="F387" s="14" t="s">
        <v>20</v>
      </c>
      <c r="G387" s="14" t="s">
        <v>14</v>
      </c>
      <c r="H387" s="14">
        <f>MONTH(Dataset!$A387)</f>
        <v>8</v>
      </c>
      <c r="I387" s="15">
        <f>WEEKDAY(Dataset!$A387)</f>
        <v>2</v>
      </c>
      <c r="J387" s="16">
        <f>Dataset!$D387-Dataset!$C387</f>
        <v>-30.300000000000004</v>
      </c>
    </row>
    <row r="388" spans="1:10" x14ac:dyDescent="0.25">
      <c r="A388" s="9">
        <v>44438</v>
      </c>
      <c r="B388" s="10" t="s">
        <v>56</v>
      </c>
      <c r="C388" s="10">
        <v>15</v>
      </c>
      <c r="D388" s="10"/>
      <c r="E388" s="10" t="s">
        <v>32</v>
      </c>
      <c r="F388" s="10" t="s">
        <v>13</v>
      </c>
      <c r="G388" s="10" t="s">
        <v>14</v>
      </c>
      <c r="H388" s="10">
        <f>MONTH(Dataset!$A388)</f>
        <v>8</v>
      </c>
      <c r="I388" s="11">
        <f>WEEKDAY(Dataset!$A388)</f>
        <v>2</v>
      </c>
      <c r="J388" s="12">
        <f>Dataset!$D388-Dataset!$C388</f>
        <v>-15</v>
      </c>
    </row>
    <row r="389" spans="1:10" x14ac:dyDescent="0.25">
      <c r="A389" s="13">
        <v>44439</v>
      </c>
      <c r="B389" s="14" t="s">
        <v>11</v>
      </c>
      <c r="C389" s="14">
        <v>5</v>
      </c>
      <c r="D389" s="14"/>
      <c r="E389" s="14" t="s">
        <v>12</v>
      </c>
      <c r="F389" s="14" t="s">
        <v>13</v>
      </c>
      <c r="G389" s="14" t="s">
        <v>14</v>
      </c>
      <c r="H389" s="14">
        <f>MONTH(Dataset!$A389)</f>
        <v>8</v>
      </c>
      <c r="I389" s="15">
        <f>WEEKDAY(Dataset!$A389)</f>
        <v>3</v>
      </c>
      <c r="J389" s="16">
        <f>Dataset!$D389-Dataset!$C389</f>
        <v>-5</v>
      </c>
    </row>
    <row r="390" spans="1:10" x14ac:dyDescent="0.25">
      <c r="A390" s="9">
        <v>44441</v>
      </c>
      <c r="B390" s="10" t="s">
        <v>11</v>
      </c>
      <c r="C390" s="10">
        <v>5</v>
      </c>
      <c r="D390" s="10"/>
      <c r="E390" s="10" t="s">
        <v>12</v>
      </c>
      <c r="F390" s="10" t="s">
        <v>13</v>
      </c>
      <c r="G390" s="10" t="s">
        <v>14</v>
      </c>
      <c r="H390" s="10">
        <f>MONTH(Dataset!$A390)</f>
        <v>9</v>
      </c>
      <c r="I390" s="11">
        <f>WEEKDAY(Dataset!$A390)</f>
        <v>5</v>
      </c>
      <c r="J390" s="12">
        <f>Dataset!$D390-Dataset!$C390</f>
        <v>-5</v>
      </c>
    </row>
    <row r="391" spans="1:10" x14ac:dyDescent="0.25">
      <c r="A391" s="13">
        <v>44441</v>
      </c>
      <c r="B391" s="14" t="s">
        <v>7</v>
      </c>
      <c r="C391" s="14"/>
      <c r="D391" s="14">
        <v>5000</v>
      </c>
      <c r="E391" s="14" t="s">
        <v>8</v>
      </c>
      <c r="F391" s="14" t="s">
        <v>9</v>
      </c>
      <c r="G391" s="14" t="s">
        <v>10</v>
      </c>
      <c r="H391" s="14">
        <f>MONTH(Dataset!$A391)</f>
        <v>9</v>
      </c>
      <c r="I391" s="15">
        <f>WEEKDAY(Dataset!$A391)</f>
        <v>5</v>
      </c>
      <c r="J391" s="16">
        <f>Dataset!$D391-Dataset!$C391</f>
        <v>5000</v>
      </c>
    </row>
    <row r="392" spans="1:10" x14ac:dyDescent="0.25">
      <c r="A392" s="9">
        <v>44442</v>
      </c>
      <c r="B392" s="10" t="s">
        <v>11</v>
      </c>
      <c r="C392" s="10">
        <v>5</v>
      </c>
      <c r="D392" s="10"/>
      <c r="E392" s="10" t="s">
        <v>12</v>
      </c>
      <c r="F392" s="10" t="s">
        <v>13</v>
      </c>
      <c r="G392" s="10" t="s">
        <v>14</v>
      </c>
      <c r="H392" s="10">
        <f>MONTH(Dataset!$A392)</f>
        <v>9</v>
      </c>
      <c r="I392" s="11">
        <f>WEEKDAY(Dataset!$A392)</f>
        <v>6</v>
      </c>
      <c r="J392" s="12">
        <f>Dataset!$D392-Dataset!$C392</f>
        <v>-5</v>
      </c>
    </row>
    <row r="393" spans="1:10" x14ac:dyDescent="0.25">
      <c r="A393" s="13">
        <v>44444</v>
      </c>
      <c r="B393" s="14" t="s">
        <v>15</v>
      </c>
      <c r="C393" s="14">
        <v>900</v>
      </c>
      <c r="D393" s="14"/>
      <c r="E393" s="14" t="s">
        <v>16</v>
      </c>
      <c r="F393" s="14" t="s">
        <v>17</v>
      </c>
      <c r="G393" s="14" t="s">
        <v>14</v>
      </c>
      <c r="H393" s="14">
        <f>MONTH(Dataset!$A393)</f>
        <v>9</v>
      </c>
      <c r="I393" s="15">
        <f>WEEKDAY(Dataset!$A393)</f>
        <v>1</v>
      </c>
      <c r="J393" s="16">
        <f>Dataset!$D393-Dataset!$C393</f>
        <v>-900</v>
      </c>
    </row>
    <row r="394" spans="1:10" x14ac:dyDescent="0.25">
      <c r="A394" s="9">
        <v>44444</v>
      </c>
      <c r="B394" s="10" t="s">
        <v>18</v>
      </c>
      <c r="C394" s="10">
        <v>150</v>
      </c>
      <c r="D394" s="10"/>
      <c r="E394" s="10" t="s">
        <v>19</v>
      </c>
      <c r="F394" s="10" t="s">
        <v>20</v>
      </c>
      <c r="G394" s="10" t="s">
        <v>14</v>
      </c>
      <c r="H394" s="10">
        <f>MONTH(Dataset!$A394)</f>
        <v>9</v>
      </c>
      <c r="I394" s="11">
        <f>WEEKDAY(Dataset!$A394)</f>
        <v>1</v>
      </c>
      <c r="J394" s="12">
        <f>Dataset!$D394-Dataset!$C394</f>
        <v>-150</v>
      </c>
    </row>
    <row r="395" spans="1:10" x14ac:dyDescent="0.25">
      <c r="A395" s="13">
        <v>44444</v>
      </c>
      <c r="B395" s="14" t="s">
        <v>11</v>
      </c>
      <c r="C395" s="14">
        <v>5</v>
      </c>
      <c r="D395" s="14"/>
      <c r="E395" s="14" t="s">
        <v>12</v>
      </c>
      <c r="F395" s="14" t="s">
        <v>13</v>
      </c>
      <c r="G395" s="14" t="s">
        <v>14</v>
      </c>
      <c r="H395" s="14">
        <f>MONTH(Dataset!$A395)</f>
        <v>9</v>
      </c>
      <c r="I395" s="15">
        <f>WEEKDAY(Dataset!$A395)</f>
        <v>1</v>
      </c>
      <c r="J395" s="16">
        <f>Dataset!$D395-Dataset!$C395</f>
        <v>-5</v>
      </c>
    </row>
    <row r="396" spans="1:10" x14ac:dyDescent="0.25">
      <c r="A396" s="9">
        <v>44444</v>
      </c>
      <c r="B396" s="10" t="s">
        <v>11</v>
      </c>
      <c r="C396" s="10">
        <v>5</v>
      </c>
      <c r="D396" s="10"/>
      <c r="E396" s="10" t="s">
        <v>12</v>
      </c>
      <c r="F396" s="10" t="s">
        <v>13</v>
      </c>
      <c r="G396" s="10" t="s">
        <v>14</v>
      </c>
      <c r="H396" s="10">
        <f>MONTH(Dataset!$A396)</f>
        <v>9</v>
      </c>
      <c r="I396" s="11">
        <f>WEEKDAY(Dataset!$A396)</f>
        <v>1</v>
      </c>
      <c r="J396" s="12">
        <f>Dataset!$D396-Dataset!$C396</f>
        <v>-5</v>
      </c>
    </row>
    <row r="397" spans="1:10" x14ac:dyDescent="0.25">
      <c r="A397" s="13">
        <v>44445</v>
      </c>
      <c r="B397" s="14" t="s">
        <v>11</v>
      </c>
      <c r="C397" s="14">
        <v>5</v>
      </c>
      <c r="D397" s="14"/>
      <c r="E397" s="14" t="s">
        <v>12</v>
      </c>
      <c r="F397" s="14" t="s">
        <v>13</v>
      </c>
      <c r="G397" s="14" t="s">
        <v>14</v>
      </c>
      <c r="H397" s="14">
        <f>MONTH(Dataset!$A397)</f>
        <v>9</v>
      </c>
      <c r="I397" s="15">
        <f>WEEKDAY(Dataset!$A397)</f>
        <v>2</v>
      </c>
      <c r="J397" s="16">
        <f>Dataset!$D397-Dataset!$C397</f>
        <v>-5</v>
      </c>
    </row>
    <row r="398" spans="1:10" x14ac:dyDescent="0.25">
      <c r="A398" s="9">
        <v>44446</v>
      </c>
      <c r="B398" s="10" t="s">
        <v>11</v>
      </c>
      <c r="C398" s="10">
        <v>5</v>
      </c>
      <c r="D398" s="10"/>
      <c r="E398" s="10" t="s">
        <v>12</v>
      </c>
      <c r="F398" s="10" t="s">
        <v>13</v>
      </c>
      <c r="G398" s="10" t="s">
        <v>14</v>
      </c>
      <c r="H398" s="10">
        <f>MONTH(Dataset!$A398)</f>
        <v>9</v>
      </c>
      <c r="I398" s="11">
        <f>WEEKDAY(Dataset!$A398)</f>
        <v>3</v>
      </c>
      <c r="J398" s="12">
        <f>Dataset!$D398-Dataset!$C398</f>
        <v>-5</v>
      </c>
    </row>
    <row r="399" spans="1:10" x14ac:dyDescent="0.25">
      <c r="A399" s="13">
        <v>44446</v>
      </c>
      <c r="B399" s="14" t="s">
        <v>21</v>
      </c>
      <c r="C399" s="14">
        <v>163.39999999999998</v>
      </c>
      <c r="D399" s="14"/>
      <c r="E399" s="14" t="s">
        <v>22</v>
      </c>
      <c r="F399" s="14" t="s">
        <v>17</v>
      </c>
      <c r="G399" s="14" t="s">
        <v>14</v>
      </c>
      <c r="H399" s="14">
        <f>MONTH(Dataset!$A399)</f>
        <v>9</v>
      </c>
      <c r="I399" s="15">
        <f>WEEKDAY(Dataset!$A399)</f>
        <v>3</v>
      </c>
      <c r="J399" s="16">
        <f>Dataset!$D399-Dataset!$C399</f>
        <v>-163.39999999999998</v>
      </c>
    </row>
    <row r="400" spans="1:10" x14ac:dyDescent="0.25">
      <c r="A400" s="9">
        <v>44449</v>
      </c>
      <c r="B400" s="10" t="s">
        <v>23</v>
      </c>
      <c r="C400" s="10">
        <v>58.1</v>
      </c>
      <c r="D400" s="10"/>
      <c r="E400" s="10" t="s">
        <v>24</v>
      </c>
      <c r="F400" s="10" t="s">
        <v>17</v>
      </c>
      <c r="G400" s="10" t="s">
        <v>14</v>
      </c>
      <c r="H400" s="10">
        <f>MONTH(Dataset!$A400)</f>
        <v>9</v>
      </c>
      <c r="I400" s="11">
        <f>WEEKDAY(Dataset!$A400)</f>
        <v>6</v>
      </c>
      <c r="J400" s="12">
        <f>Dataset!$D400-Dataset!$C400</f>
        <v>-58.1</v>
      </c>
    </row>
    <row r="401" spans="1:10" x14ac:dyDescent="0.25">
      <c r="A401" s="13">
        <v>44449</v>
      </c>
      <c r="B401" s="14" t="s">
        <v>11</v>
      </c>
      <c r="C401" s="14">
        <v>5</v>
      </c>
      <c r="D401" s="14"/>
      <c r="E401" s="14" t="s">
        <v>12</v>
      </c>
      <c r="F401" s="14" t="s">
        <v>13</v>
      </c>
      <c r="G401" s="14" t="s">
        <v>14</v>
      </c>
      <c r="H401" s="14">
        <f>MONTH(Dataset!$A401)</f>
        <v>9</v>
      </c>
      <c r="I401" s="15">
        <f>WEEKDAY(Dataset!$A401)</f>
        <v>6</v>
      </c>
      <c r="J401" s="16">
        <f>Dataset!$D401-Dataset!$C401</f>
        <v>-5</v>
      </c>
    </row>
    <row r="402" spans="1:10" x14ac:dyDescent="0.25">
      <c r="A402" s="9">
        <v>44450</v>
      </c>
      <c r="B402" s="10" t="s">
        <v>11</v>
      </c>
      <c r="C402" s="10">
        <v>5</v>
      </c>
      <c r="D402" s="10"/>
      <c r="E402" s="10" t="s">
        <v>12</v>
      </c>
      <c r="F402" s="10" t="s">
        <v>13</v>
      </c>
      <c r="G402" s="10" t="s">
        <v>14</v>
      </c>
      <c r="H402" s="10">
        <f>MONTH(Dataset!$A402)</f>
        <v>9</v>
      </c>
      <c r="I402" s="11">
        <f>WEEKDAY(Dataset!$A402)</f>
        <v>7</v>
      </c>
      <c r="J402" s="12">
        <f>Dataset!$D402-Dataset!$C402</f>
        <v>-5</v>
      </c>
    </row>
    <row r="403" spans="1:10" x14ac:dyDescent="0.25">
      <c r="A403" s="13">
        <v>44451</v>
      </c>
      <c r="B403" s="14" t="s">
        <v>25</v>
      </c>
      <c r="C403" s="14">
        <v>85.299999999999983</v>
      </c>
      <c r="D403" s="14"/>
      <c r="E403" s="14" t="s">
        <v>48</v>
      </c>
      <c r="F403" s="14" t="s">
        <v>20</v>
      </c>
      <c r="G403" s="14" t="s">
        <v>14</v>
      </c>
      <c r="H403" s="14">
        <f>MONTH(Dataset!$A403)</f>
        <v>9</v>
      </c>
      <c r="I403" s="15">
        <f>WEEKDAY(Dataset!$A403)</f>
        <v>1</v>
      </c>
      <c r="J403" s="16">
        <f>Dataset!$D403-Dataset!$C403</f>
        <v>-85.299999999999983</v>
      </c>
    </row>
    <row r="404" spans="1:10" x14ac:dyDescent="0.25">
      <c r="A404" s="9">
        <v>44451</v>
      </c>
      <c r="B404" s="10" t="s">
        <v>11</v>
      </c>
      <c r="C404" s="10">
        <v>5</v>
      </c>
      <c r="D404" s="10"/>
      <c r="E404" s="10" t="s">
        <v>12</v>
      </c>
      <c r="F404" s="10" t="s">
        <v>13</v>
      </c>
      <c r="G404" s="10" t="s">
        <v>14</v>
      </c>
      <c r="H404" s="10">
        <f>MONTH(Dataset!$A404)</f>
        <v>9</v>
      </c>
      <c r="I404" s="11">
        <f>WEEKDAY(Dataset!$A404)</f>
        <v>1</v>
      </c>
      <c r="J404" s="12">
        <f>Dataset!$D404-Dataset!$C404</f>
        <v>-5</v>
      </c>
    </row>
    <row r="405" spans="1:10" x14ac:dyDescent="0.25">
      <c r="A405" s="13">
        <v>44452</v>
      </c>
      <c r="B405" s="14" t="s">
        <v>11</v>
      </c>
      <c r="C405" s="14">
        <v>5</v>
      </c>
      <c r="D405" s="14"/>
      <c r="E405" s="14" t="s">
        <v>12</v>
      </c>
      <c r="F405" s="14" t="s">
        <v>13</v>
      </c>
      <c r="G405" s="14" t="s">
        <v>14</v>
      </c>
      <c r="H405" s="14">
        <f>MONTH(Dataset!$A405)</f>
        <v>9</v>
      </c>
      <c r="I405" s="15">
        <f>WEEKDAY(Dataset!$A405)</f>
        <v>2</v>
      </c>
      <c r="J405" s="16">
        <f>Dataset!$D405-Dataset!$C405</f>
        <v>-5</v>
      </c>
    </row>
    <row r="406" spans="1:10" x14ac:dyDescent="0.25">
      <c r="A406" s="9">
        <v>44453</v>
      </c>
      <c r="B406" s="10" t="s">
        <v>21</v>
      </c>
      <c r="C406" s="10">
        <v>143</v>
      </c>
      <c r="D406" s="10"/>
      <c r="E406" s="10" t="s">
        <v>22</v>
      </c>
      <c r="F406" s="10" t="s">
        <v>17</v>
      </c>
      <c r="G406" s="10" t="s">
        <v>14</v>
      </c>
      <c r="H406" s="10">
        <f>MONTH(Dataset!$A406)</f>
        <v>9</v>
      </c>
      <c r="I406" s="11">
        <f>WEEKDAY(Dataset!$A406)</f>
        <v>3</v>
      </c>
      <c r="J406" s="12">
        <f>Dataset!$D406-Dataset!$C406</f>
        <v>-143</v>
      </c>
    </row>
    <row r="407" spans="1:10" x14ac:dyDescent="0.25">
      <c r="A407" s="13">
        <v>44453</v>
      </c>
      <c r="B407" s="14" t="s">
        <v>11</v>
      </c>
      <c r="C407" s="14">
        <v>5</v>
      </c>
      <c r="D407" s="14"/>
      <c r="E407" s="14" t="s">
        <v>12</v>
      </c>
      <c r="F407" s="14" t="s">
        <v>13</v>
      </c>
      <c r="G407" s="14" t="s">
        <v>14</v>
      </c>
      <c r="H407" s="14">
        <f>MONTH(Dataset!$A407)</f>
        <v>9</v>
      </c>
      <c r="I407" s="15">
        <f>WEEKDAY(Dataset!$A407)</f>
        <v>3</v>
      </c>
      <c r="J407" s="16">
        <f>Dataset!$D407-Dataset!$C407</f>
        <v>-5</v>
      </c>
    </row>
    <row r="408" spans="1:10" x14ac:dyDescent="0.25">
      <c r="A408" s="9">
        <v>44454</v>
      </c>
      <c r="B408" s="10" t="s">
        <v>11</v>
      </c>
      <c r="C408" s="10">
        <v>5</v>
      </c>
      <c r="D408" s="10"/>
      <c r="E408" s="10" t="s">
        <v>12</v>
      </c>
      <c r="F408" s="10" t="s">
        <v>13</v>
      </c>
      <c r="G408" s="10" t="s">
        <v>14</v>
      </c>
      <c r="H408" s="10">
        <f>MONTH(Dataset!$A408)</f>
        <v>9</v>
      </c>
      <c r="I408" s="11">
        <f>WEEKDAY(Dataset!$A408)</f>
        <v>4</v>
      </c>
      <c r="J408" s="12">
        <f>Dataset!$D408-Dataset!$C408</f>
        <v>-5</v>
      </c>
    </row>
    <row r="409" spans="1:10" x14ac:dyDescent="0.25">
      <c r="A409" s="13">
        <v>44454</v>
      </c>
      <c r="B409" s="14" t="s">
        <v>26</v>
      </c>
      <c r="C409" s="14">
        <v>47.8</v>
      </c>
      <c r="D409" s="14"/>
      <c r="E409" s="14" t="s">
        <v>27</v>
      </c>
      <c r="F409" s="14" t="s">
        <v>28</v>
      </c>
      <c r="G409" s="14" t="s">
        <v>14</v>
      </c>
      <c r="H409" s="14">
        <f>MONTH(Dataset!$A409)</f>
        <v>9</v>
      </c>
      <c r="I409" s="15">
        <f>WEEKDAY(Dataset!$A409)</f>
        <v>4</v>
      </c>
      <c r="J409" s="16">
        <f>Dataset!$D409-Dataset!$C409</f>
        <v>-47.8</v>
      </c>
    </row>
    <row r="410" spans="1:10" x14ac:dyDescent="0.25">
      <c r="A410" s="9">
        <v>44454</v>
      </c>
      <c r="B410" s="10" t="s">
        <v>29</v>
      </c>
      <c r="C410" s="10">
        <v>105.80000000000001</v>
      </c>
      <c r="D410" s="10"/>
      <c r="E410" s="10" t="s">
        <v>30</v>
      </c>
      <c r="F410" s="10" t="s">
        <v>28</v>
      </c>
      <c r="G410" s="10" t="s">
        <v>14</v>
      </c>
      <c r="H410" s="10">
        <f>MONTH(Dataset!$A410)</f>
        <v>9</v>
      </c>
      <c r="I410" s="11">
        <f>WEEKDAY(Dataset!$A410)</f>
        <v>4</v>
      </c>
      <c r="J410" s="12">
        <f>Dataset!$D410-Dataset!$C410</f>
        <v>-105.80000000000001</v>
      </c>
    </row>
    <row r="411" spans="1:10" x14ac:dyDescent="0.25">
      <c r="A411" s="13">
        <v>44454</v>
      </c>
      <c r="B411" s="14" t="s">
        <v>31</v>
      </c>
      <c r="C411" s="14">
        <v>60.1</v>
      </c>
      <c r="D411" s="14"/>
      <c r="E411" s="14" t="s">
        <v>32</v>
      </c>
      <c r="F411" s="14" t="s">
        <v>13</v>
      </c>
      <c r="G411" s="14" t="s">
        <v>14</v>
      </c>
      <c r="H411" s="14">
        <f>MONTH(Dataset!$A411)</f>
        <v>9</v>
      </c>
      <c r="I411" s="15">
        <f>WEEKDAY(Dataset!$A411)</f>
        <v>4</v>
      </c>
      <c r="J411" s="16">
        <f>Dataset!$D411-Dataset!$C411</f>
        <v>-60.1</v>
      </c>
    </row>
    <row r="412" spans="1:10" x14ac:dyDescent="0.25">
      <c r="A412" s="9">
        <v>44455</v>
      </c>
      <c r="B412" s="10" t="s">
        <v>33</v>
      </c>
      <c r="C412" s="10">
        <v>36.200000000000003</v>
      </c>
      <c r="D412" s="10"/>
      <c r="E412" s="10" t="s">
        <v>34</v>
      </c>
      <c r="F412" s="10" t="s">
        <v>20</v>
      </c>
      <c r="G412" s="10" t="s">
        <v>14</v>
      </c>
      <c r="H412" s="10">
        <f>MONTH(Dataset!$A412)</f>
        <v>9</v>
      </c>
      <c r="I412" s="11">
        <f>WEEKDAY(Dataset!$A412)</f>
        <v>5</v>
      </c>
      <c r="J412" s="12">
        <f>Dataset!$D412-Dataset!$C412</f>
        <v>-36.200000000000003</v>
      </c>
    </row>
    <row r="413" spans="1:10" x14ac:dyDescent="0.25">
      <c r="A413" s="13">
        <v>44456</v>
      </c>
      <c r="B413" s="14" t="s">
        <v>35</v>
      </c>
      <c r="C413" s="14"/>
      <c r="D413" s="14">
        <v>100</v>
      </c>
      <c r="E413" s="14" t="s">
        <v>36</v>
      </c>
      <c r="F413" s="14" t="s">
        <v>37</v>
      </c>
      <c r="G413" s="14" t="s">
        <v>10</v>
      </c>
      <c r="H413" s="14">
        <f>MONTH(Dataset!$A413)</f>
        <v>9</v>
      </c>
      <c r="I413" s="15">
        <f>WEEKDAY(Dataset!$A413)</f>
        <v>6</v>
      </c>
      <c r="J413" s="16">
        <f>Dataset!$D413-Dataset!$C413</f>
        <v>100</v>
      </c>
    </row>
    <row r="414" spans="1:10" x14ac:dyDescent="0.25">
      <c r="A414" s="9">
        <v>44456</v>
      </c>
      <c r="B414" s="10" t="s">
        <v>11</v>
      </c>
      <c r="C414" s="10">
        <v>5</v>
      </c>
      <c r="D414" s="10"/>
      <c r="E414" s="10" t="s">
        <v>12</v>
      </c>
      <c r="F414" s="10" t="s">
        <v>13</v>
      </c>
      <c r="G414" s="10" t="s">
        <v>14</v>
      </c>
      <c r="H414" s="10">
        <f>MONTH(Dataset!$A414)</f>
        <v>9</v>
      </c>
      <c r="I414" s="11">
        <f>WEEKDAY(Dataset!$A414)</f>
        <v>6</v>
      </c>
      <c r="J414" s="12">
        <f>Dataset!$D414-Dataset!$C414</f>
        <v>-5</v>
      </c>
    </row>
    <row r="415" spans="1:10" x14ac:dyDescent="0.25">
      <c r="A415" s="13">
        <v>44457</v>
      </c>
      <c r="B415" s="14" t="s">
        <v>11</v>
      </c>
      <c r="C415" s="14">
        <v>5</v>
      </c>
      <c r="D415" s="14"/>
      <c r="E415" s="14" t="s">
        <v>12</v>
      </c>
      <c r="F415" s="14" t="s">
        <v>13</v>
      </c>
      <c r="G415" s="14" t="s">
        <v>14</v>
      </c>
      <c r="H415" s="14">
        <f>MONTH(Dataset!$A415)</f>
        <v>9</v>
      </c>
      <c r="I415" s="15">
        <f>WEEKDAY(Dataset!$A415)</f>
        <v>7</v>
      </c>
      <c r="J415" s="16">
        <f>Dataset!$D415-Dataset!$C415</f>
        <v>-5</v>
      </c>
    </row>
    <row r="416" spans="1:10" x14ac:dyDescent="0.25">
      <c r="A416" s="9">
        <v>44457</v>
      </c>
      <c r="B416" s="10" t="s">
        <v>39</v>
      </c>
      <c r="C416" s="10">
        <v>40</v>
      </c>
      <c r="D416" s="10"/>
      <c r="E416" s="10" t="s">
        <v>39</v>
      </c>
      <c r="F416" s="10" t="s">
        <v>17</v>
      </c>
      <c r="G416" s="10" t="s">
        <v>14</v>
      </c>
      <c r="H416" s="10">
        <f>MONTH(Dataset!$A416)</f>
        <v>9</v>
      </c>
      <c r="I416" s="11">
        <f>WEEKDAY(Dataset!$A416)</f>
        <v>7</v>
      </c>
      <c r="J416" s="12">
        <f>Dataset!$D416-Dataset!$C416</f>
        <v>-40</v>
      </c>
    </row>
    <row r="417" spans="1:10" x14ac:dyDescent="0.25">
      <c r="A417" s="13">
        <v>44458</v>
      </c>
      <c r="B417" s="14" t="s">
        <v>40</v>
      </c>
      <c r="C417" s="14">
        <v>53</v>
      </c>
      <c r="D417" s="14"/>
      <c r="E417" s="14" t="s">
        <v>41</v>
      </c>
      <c r="F417" s="14" t="s">
        <v>28</v>
      </c>
      <c r="G417" s="14" t="s">
        <v>14</v>
      </c>
      <c r="H417" s="14">
        <f>MONTH(Dataset!$A417)</f>
        <v>9</v>
      </c>
      <c r="I417" s="15">
        <f>WEEKDAY(Dataset!$A417)</f>
        <v>1</v>
      </c>
      <c r="J417" s="16">
        <f>Dataset!$D417-Dataset!$C417</f>
        <v>-53</v>
      </c>
    </row>
    <row r="418" spans="1:10" x14ac:dyDescent="0.25">
      <c r="A418" s="9">
        <v>44458</v>
      </c>
      <c r="B418" s="10" t="s">
        <v>42</v>
      </c>
      <c r="C418" s="10">
        <v>35</v>
      </c>
      <c r="D418" s="10"/>
      <c r="E418" s="10" t="s">
        <v>27</v>
      </c>
      <c r="F418" s="10" t="s">
        <v>28</v>
      </c>
      <c r="G418" s="10" t="s">
        <v>14</v>
      </c>
      <c r="H418" s="10">
        <f>MONTH(Dataset!$A418)</f>
        <v>9</v>
      </c>
      <c r="I418" s="11">
        <f>WEEKDAY(Dataset!$A418)</f>
        <v>1</v>
      </c>
      <c r="J418" s="12">
        <f>Dataset!$D418-Dataset!$C418</f>
        <v>-35</v>
      </c>
    </row>
    <row r="419" spans="1:10" x14ac:dyDescent="0.25">
      <c r="A419" s="13">
        <v>44458</v>
      </c>
      <c r="B419" s="14" t="s">
        <v>11</v>
      </c>
      <c r="C419" s="14">
        <v>5</v>
      </c>
      <c r="D419" s="14"/>
      <c r="E419" s="14" t="s">
        <v>12</v>
      </c>
      <c r="F419" s="14" t="s">
        <v>13</v>
      </c>
      <c r="G419" s="14" t="s">
        <v>14</v>
      </c>
      <c r="H419" s="14">
        <f>MONTH(Dataset!$A419)</f>
        <v>9</v>
      </c>
      <c r="I419" s="15">
        <f>WEEKDAY(Dataset!$A419)</f>
        <v>1</v>
      </c>
      <c r="J419" s="16">
        <f>Dataset!$D419-Dataset!$C419</f>
        <v>-5</v>
      </c>
    </row>
    <row r="420" spans="1:10" x14ac:dyDescent="0.25">
      <c r="A420" s="9">
        <v>44459</v>
      </c>
      <c r="B420" s="10" t="s">
        <v>11</v>
      </c>
      <c r="C420" s="10">
        <v>5</v>
      </c>
      <c r="D420" s="10"/>
      <c r="E420" s="10" t="s">
        <v>12</v>
      </c>
      <c r="F420" s="10" t="s">
        <v>13</v>
      </c>
      <c r="G420" s="10" t="s">
        <v>14</v>
      </c>
      <c r="H420" s="10">
        <f>MONTH(Dataset!$A420)</f>
        <v>9</v>
      </c>
      <c r="I420" s="11">
        <f>WEEKDAY(Dataset!$A420)</f>
        <v>2</v>
      </c>
      <c r="J420" s="12">
        <f>Dataset!$D420-Dataset!$C420</f>
        <v>-5</v>
      </c>
    </row>
    <row r="421" spans="1:10" x14ac:dyDescent="0.25">
      <c r="A421" s="13">
        <v>44460</v>
      </c>
      <c r="B421" s="14" t="s">
        <v>11</v>
      </c>
      <c r="C421" s="14">
        <v>5</v>
      </c>
      <c r="D421" s="14"/>
      <c r="E421" s="14" t="s">
        <v>12</v>
      </c>
      <c r="F421" s="14" t="s">
        <v>13</v>
      </c>
      <c r="G421" s="14" t="s">
        <v>14</v>
      </c>
      <c r="H421" s="14">
        <f>MONTH(Dataset!$A421)</f>
        <v>9</v>
      </c>
      <c r="I421" s="15">
        <f>WEEKDAY(Dataset!$A421)</f>
        <v>3</v>
      </c>
      <c r="J421" s="16">
        <f>Dataset!$D421-Dataset!$C421</f>
        <v>-5</v>
      </c>
    </row>
    <row r="422" spans="1:10" x14ac:dyDescent="0.25">
      <c r="A422" s="9">
        <v>44460</v>
      </c>
      <c r="B422" s="10" t="s">
        <v>21</v>
      </c>
      <c r="C422" s="10">
        <v>177.9</v>
      </c>
      <c r="D422" s="10"/>
      <c r="E422" s="10" t="s">
        <v>22</v>
      </c>
      <c r="F422" s="10" t="s">
        <v>17</v>
      </c>
      <c r="G422" s="10" t="s">
        <v>14</v>
      </c>
      <c r="H422" s="10">
        <f>MONTH(Dataset!$A422)</f>
        <v>9</v>
      </c>
      <c r="I422" s="11">
        <f>WEEKDAY(Dataset!$A422)</f>
        <v>3</v>
      </c>
      <c r="J422" s="12">
        <f>Dataset!$D422-Dataset!$C422</f>
        <v>-177.9</v>
      </c>
    </row>
    <row r="423" spans="1:10" x14ac:dyDescent="0.25">
      <c r="A423" s="13">
        <v>44461</v>
      </c>
      <c r="B423" s="14" t="s">
        <v>43</v>
      </c>
      <c r="C423" s="14">
        <v>45.300000000000004</v>
      </c>
      <c r="D423" s="14"/>
      <c r="E423" s="14" t="s">
        <v>32</v>
      </c>
      <c r="F423" s="14" t="s">
        <v>13</v>
      </c>
      <c r="G423" s="14" t="s">
        <v>14</v>
      </c>
      <c r="H423" s="14">
        <f>MONTH(Dataset!$A423)</f>
        <v>9</v>
      </c>
      <c r="I423" s="15">
        <f>WEEKDAY(Dataset!$A423)</f>
        <v>4</v>
      </c>
      <c r="J423" s="16">
        <f>Dataset!$D423-Dataset!$C423</f>
        <v>-45.300000000000004</v>
      </c>
    </row>
    <row r="424" spans="1:10" x14ac:dyDescent="0.25">
      <c r="A424" s="9">
        <v>44462</v>
      </c>
      <c r="B424" s="10" t="s">
        <v>44</v>
      </c>
      <c r="C424" s="10">
        <v>20.099999999999998</v>
      </c>
      <c r="D424" s="10"/>
      <c r="E424" s="10" t="s">
        <v>32</v>
      </c>
      <c r="F424" s="10" t="s">
        <v>13</v>
      </c>
      <c r="G424" s="10" t="s">
        <v>14</v>
      </c>
      <c r="H424" s="10">
        <f>MONTH(Dataset!$A424)</f>
        <v>9</v>
      </c>
      <c r="I424" s="11">
        <f>WEEKDAY(Dataset!$A424)</f>
        <v>5</v>
      </c>
      <c r="J424" s="12">
        <f>Dataset!$D424-Dataset!$C424</f>
        <v>-20.099999999999998</v>
      </c>
    </row>
    <row r="425" spans="1:10" x14ac:dyDescent="0.25">
      <c r="A425" s="13">
        <v>44463</v>
      </c>
      <c r="B425" s="14" t="s">
        <v>45</v>
      </c>
      <c r="C425" s="14">
        <v>55</v>
      </c>
      <c r="D425" s="14"/>
      <c r="E425" s="14" t="s">
        <v>46</v>
      </c>
      <c r="F425" s="14" t="s">
        <v>47</v>
      </c>
      <c r="G425" s="14" t="s">
        <v>14</v>
      </c>
      <c r="H425" s="14">
        <f>MONTH(Dataset!$A425)</f>
        <v>9</v>
      </c>
      <c r="I425" s="15">
        <f>WEEKDAY(Dataset!$A425)</f>
        <v>6</v>
      </c>
      <c r="J425" s="16">
        <f>Dataset!$D425-Dataset!$C425</f>
        <v>-55</v>
      </c>
    </row>
    <row r="426" spans="1:10" x14ac:dyDescent="0.25">
      <c r="A426" s="9">
        <v>44463</v>
      </c>
      <c r="B426" s="10" t="s">
        <v>25</v>
      </c>
      <c r="C426" s="10">
        <v>70.600000000000023</v>
      </c>
      <c r="D426" s="10"/>
      <c r="E426" s="10" t="s">
        <v>48</v>
      </c>
      <c r="F426" s="10" t="s">
        <v>20</v>
      </c>
      <c r="G426" s="10" t="s">
        <v>14</v>
      </c>
      <c r="H426" s="10">
        <f>MONTH(Dataset!$A426)</f>
        <v>9</v>
      </c>
      <c r="I426" s="11">
        <f>WEEKDAY(Dataset!$A426)</f>
        <v>6</v>
      </c>
      <c r="J426" s="12">
        <f>Dataset!$D426-Dataset!$C426</f>
        <v>-70.600000000000023</v>
      </c>
    </row>
    <row r="427" spans="1:10" x14ac:dyDescent="0.25">
      <c r="A427" s="13">
        <v>44463</v>
      </c>
      <c r="B427" s="14" t="s">
        <v>11</v>
      </c>
      <c r="C427" s="14">
        <v>5</v>
      </c>
      <c r="D427" s="14"/>
      <c r="E427" s="14" t="s">
        <v>12</v>
      </c>
      <c r="F427" s="14" t="s">
        <v>13</v>
      </c>
      <c r="G427" s="14" t="s">
        <v>14</v>
      </c>
      <c r="H427" s="14">
        <f>MONTH(Dataset!$A427)</f>
        <v>9</v>
      </c>
      <c r="I427" s="15">
        <f>WEEKDAY(Dataset!$A427)</f>
        <v>6</v>
      </c>
      <c r="J427" s="16">
        <f>Dataset!$D427-Dataset!$C427</f>
        <v>-5</v>
      </c>
    </row>
    <row r="428" spans="1:10" x14ac:dyDescent="0.25">
      <c r="A428" s="9">
        <v>44464</v>
      </c>
      <c r="B428" s="10" t="s">
        <v>11</v>
      </c>
      <c r="C428" s="10">
        <v>5</v>
      </c>
      <c r="D428" s="10"/>
      <c r="E428" s="10" t="s">
        <v>12</v>
      </c>
      <c r="F428" s="10" t="s">
        <v>13</v>
      </c>
      <c r="G428" s="10" t="s">
        <v>14</v>
      </c>
      <c r="H428" s="10">
        <f>MONTH(Dataset!$A428)</f>
        <v>9</v>
      </c>
      <c r="I428" s="11">
        <f>WEEKDAY(Dataset!$A428)</f>
        <v>7</v>
      </c>
      <c r="J428" s="12">
        <f>Dataset!$D428-Dataset!$C428</f>
        <v>-5</v>
      </c>
    </row>
    <row r="429" spans="1:10" x14ac:dyDescent="0.25">
      <c r="A429" s="13">
        <v>44465</v>
      </c>
      <c r="B429" s="14" t="s">
        <v>11</v>
      </c>
      <c r="C429" s="14">
        <v>5</v>
      </c>
      <c r="D429" s="14"/>
      <c r="E429" s="14" t="s">
        <v>12</v>
      </c>
      <c r="F429" s="14" t="s">
        <v>13</v>
      </c>
      <c r="G429" s="14" t="s">
        <v>14</v>
      </c>
      <c r="H429" s="14">
        <f>MONTH(Dataset!$A429)</f>
        <v>9</v>
      </c>
      <c r="I429" s="15">
        <f>WEEKDAY(Dataset!$A429)</f>
        <v>1</v>
      </c>
      <c r="J429" s="16">
        <f>Dataset!$D429-Dataset!$C429</f>
        <v>-5</v>
      </c>
    </row>
    <row r="430" spans="1:10" x14ac:dyDescent="0.25">
      <c r="A430" s="9">
        <v>44466</v>
      </c>
      <c r="B430" s="10" t="s">
        <v>11</v>
      </c>
      <c r="C430" s="10">
        <v>5</v>
      </c>
      <c r="D430" s="10"/>
      <c r="E430" s="10" t="s">
        <v>12</v>
      </c>
      <c r="F430" s="10" t="s">
        <v>13</v>
      </c>
      <c r="G430" s="10" t="s">
        <v>14</v>
      </c>
      <c r="H430" s="10">
        <f>MONTH(Dataset!$A430)</f>
        <v>9</v>
      </c>
      <c r="I430" s="11">
        <f>WEEKDAY(Dataset!$A430)</f>
        <v>2</v>
      </c>
      <c r="J430" s="12">
        <f>Dataset!$D430-Dataset!$C430</f>
        <v>-5</v>
      </c>
    </row>
    <row r="431" spans="1:10" x14ac:dyDescent="0.25">
      <c r="A431" s="13">
        <v>44467</v>
      </c>
      <c r="B431" s="14" t="s">
        <v>11</v>
      </c>
      <c r="C431" s="14">
        <v>5</v>
      </c>
      <c r="D431" s="14"/>
      <c r="E431" s="14" t="s">
        <v>12</v>
      </c>
      <c r="F431" s="14" t="s">
        <v>13</v>
      </c>
      <c r="G431" s="14" t="s">
        <v>14</v>
      </c>
      <c r="H431" s="14">
        <f>MONTH(Dataset!$A431)</f>
        <v>9</v>
      </c>
      <c r="I431" s="15">
        <f>WEEKDAY(Dataset!$A431)</f>
        <v>3</v>
      </c>
      <c r="J431" s="16">
        <f>Dataset!$D431-Dataset!$C431</f>
        <v>-5</v>
      </c>
    </row>
    <row r="432" spans="1:10" x14ac:dyDescent="0.25">
      <c r="A432" s="9">
        <v>44467</v>
      </c>
      <c r="B432" s="10" t="s">
        <v>21</v>
      </c>
      <c r="C432" s="10">
        <v>223</v>
      </c>
      <c r="D432" s="10"/>
      <c r="E432" s="10" t="s">
        <v>22</v>
      </c>
      <c r="F432" s="10" t="s">
        <v>17</v>
      </c>
      <c r="G432" s="10" t="s">
        <v>14</v>
      </c>
      <c r="H432" s="10">
        <f>MONTH(Dataset!$A432)</f>
        <v>9</v>
      </c>
      <c r="I432" s="11">
        <f>WEEKDAY(Dataset!$A432)</f>
        <v>3</v>
      </c>
      <c r="J432" s="12">
        <f>Dataset!$D432-Dataset!$C432</f>
        <v>-223</v>
      </c>
    </row>
    <row r="433" spans="1:10" x14ac:dyDescent="0.25">
      <c r="A433" s="13">
        <v>44468</v>
      </c>
      <c r="B433" s="14" t="s">
        <v>49</v>
      </c>
      <c r="C433" s="14">
        <v>132.9</v>
      </c>
      <c r="D433" s="14"/>
      <c r="E433" s="14" t="s">
        <v>30</v>
      </c>
      <c r="F433" s="14" t="s">
        <v>28</v>
      </c>
      <c r="G433" s="14" t="s">
        <v>14</v>
      </c>
      <c r="H433" s="14">
        <f>MONTH(Dataset!$A433)</f>
        <v>9</v>
      </c>
      <c r="I433" s="15">
        <f>WEEKDAY(Dataset!$A433)</f>
        <v>4</v>
      </c>
      <c r="J433" s="16">
        <f>Dataset!$D433-Dataset!$C433</f>
        <v>-132.9</v>
      </c>
    </row>
    <row r="434" spans="1:10" x14ac:dyDescent="0.25">
      <c r="A434" s="9">
        <v>44468</v>
      </c>
      <c r="B434" s="10" t="s">
        <v>51</v>
      </c>
      <c r="C434" s="10">
        <v>175</v>
      </c>
      <c r="D434" s="10"/>
      <c r="E434" s="10" t="s">
        <v>30</v>
      </c>
      <c r="F434" s="10" t="s">
        <v>28</v>
      </c>
      <c r="G434" s="10" t="s">
        <v>14</v>
      </c>
      <c r="H434" s="10">
        <f>MONTH(Dataset!$A434)</f>
        <v>9</v>
      </c>
      <c r="I434" s="11">
        <f>WEEKDAY(Dataset!$A434)</f>
        <v>4</v>
      </c>
      <c r="J434" s="12">
        <f>Dataset!$D434-Dataset!$C434</f>
        <v>-175</v>
      </c>
    </row>
    <row r="435" spans="1:10" x14ac:dyDescent="0.25">
      <c r="A435" s="13">
        <v>44469</v>
      </c>
      <c r="B435" s="14" t="s">
        <v>29</v>
      </c>
      <c r="C435" s="14">
        <v>153.39999999999998</v>
      </c>
      <c r="D435" s="14"/>
      <c r="E435" s="14" t="s">
        <v>30</v>
      </c>
      <c r="F435" s="14" t="s">
        <v>28</v>
      </c>
      <c r="G435" s="14" t="s">
        <v>14</v>
      </c>
      <c r="H435" s="14">
        <f>MONTH(Dataset!$A435)</f>
        <v>9</v>
      </c>
      <c r="I435" s="15">
        <f>WEEKDAY(Dataset!$A435)</f>
        <v>5</v>
      </c>
      <c r="J435" s="16">
        <f>Dataset!$D435-Dataset!$C435</f>
        <v>-153.39999999999998</v>
      </c>
    </row>
    <row r="436" spans="1:10" x14ac:dyDescent="0.25">
      <c r="A436" s="9">
        <v>44469</v>
      </c>
      <c r="B436" s="10" t="s">
        <v>33</v>
      </c>
      <c r="C436" s="10">
        <v>31.200000000000003</v>
      </c>
      <c r="D436" s="10"/>
      <c r="E436" s="10" t="s">
        <v>34</v>
      </c>
      <c r="F436" s="10" t="s">
        <v>20</v>
      </c>
      <c r="G436" s="10" t="s">
        <v>14</v>
      </c>
      <c r="H436" s="10">
        <f>MONTH(Dataset!$A436)</f>
        <v>9</v>
      </c>
      <c r="I436" s="11">
        <f>WEEKDAY(Dataset!$A436)</f>
        <v>5</v>
      </c>
      <c r="J436" s="12">
        <f>Dataset!$D436-Dataset!$C436</f>
        <v>-31.200000000000003</v>
      </c>
    </row>
    <row r="437" spans="1:10" x14ac:dyDescent="0.25">
      <c r="A437" s="13">
        <v>44469</v>
      </c>
      <c r="B437" s="14" t="s">
        <v>56</v>
      </c>
      <c r="C437" s="14">
        <v>15</v>
      </c>
      <c r="D437" s="14"/>
      <c r="E437" s="14" t="s">
        <v>32</v>
      </c>
      <c r="F437" s="14" t="s">
        <v>13</v>
      </c>
      <c r="G437" s="14" t="s">
        <v>14</v>
      </c>
      <c r="H437" s="14">
        <f>MONTH(Dataset!$A437)</f>
        <v>9</v>
      </c>
      <c r="I437" s="15">
        <f>WEEKDAY(Dataset!$A437)</f>
        <v>5</v>
      </c>
      <c r="J437" s="16">
        <f>Dataset!$D437-Dataset!$C437</f>
        <v>-15</v>
      </c>
    </row>
    <row r="438" spans="1:10" x14ac:dyDescent="0.25">
      <c r="A438" s="9">
        <v>44470</v>
      </c>
      <c r="B438" s="10" t="s">
        <v>11</v>
      </c>
      <c r="C438" s="10">
        <v>5</v>
      </c>
      <c r="D438" s="10"/>
      <c r="E438" s="10" t="s">
        <v>12</v>
      </c>
      <c r="F438" s="10" t="s">
        <v>13</v>
      </c>
      <c r="G438" s="10" t="s">
        <v>14</v>
      </c>
      <c r="H438" s="10">
        <f>MONTH(Dataset!$A438)</f>
        <v>10</v>
      </c>
      <c r="I438" s="11">
        <f>WEEKDAY(Dataset!$A438)</f>
        <v>6</v>
      </c>
      <c r="J438" s="12">
        <f>Dataset!$D438-Dataset!$C438</f>
        <v>-5</v>
      </c>
    </row>
    <row r="439" spans="1:10" x14ac:dyDescent="0.25">
      <c r="A439" s="13">
        <v>44472</v>
      </c>
      <c r="B439" s="14" t="s">
        <v>11</v>
      </c>
      <c r="C439" s="14">
        <v>5</v>
      </c>
      <c r="D439" s="14"/>
      <c r="E439" s="14" t="s">
        <v>12</v>
      </c>
      <c r="F439" s="14" t="s">
        <v>13</v>
      </c>
      <c r="G439" s="14" t="s">
        <v>14</v>
      </c>
      <c r="H439" s="14">
        <f>MONTH(Dataset!$A439)</f>
        <v>10</v>
      </c>
      <c r="I439" s="15">
        <f>WEEKDAY(Dataset!$A439)</f>
        <v>1</v>
      </c>
      <c r="J439" s="16">
        <f>Dataset!$D439-Dataset!$C439</f>
        <v>-5</v>
      </c>
    </row>
    <row r="440" spans="1:10" x14ac:dyDescent="0.25">
      <c r="A440" s="9">
        <v>44472</v>
      </c>
      <c r="B440" s="10" t="s">
        <v>7</v>
      </c>
      <c r="C440" s="10"/>
      <c r="D440" s="10">
        <v>5000</v>
      </c>
      <c r="E440" s="10" t="s">
        <v>8</v>
      </c>
      <c r="F440" s="10" t="s">
        <v>9</v>
      </c>
      <c r="G440" s="10" t="s">
        <v>10</v>
      </c>
      <c r="H440" s="10">
        <f>MONTH(Dataset!$A440)</f>
        <v>10</v>
      </c>
      <c r="I440" s="11">
        <f>WEEKDAY(Dataset!$A440)</f>
        <v>1</v>
      </c>
      <c r="J440" s="12">
        <f>Dataset!$D440-Dataset!$C440</f>
        <v>5000</v>
      </c>
    </row>
    <row r="441" spans="1:10" x14ac:dyDescent="0.25">
      <c r="A441" s="13">
        <v>44473</v>
      </c>
      <c r="B441" s="14" t="s">
        <v>11</v>
      </c>
      <c r="C441" s="14">
        <v>5</v>
      </c>
      <c r="D441" s="14"/>
      <c r="E441" s="14" t="s">
        <v>12</v>
      </c>
      <c r="F441" s="14" t="s">
        <v>13</v>
      </c>
      <c r="G441" s="14" t="s">
        <v>14</v>
      </c>
      <c r="H441" s="14">
        <f>MONTH(Dataset!$A441)</f>
        <v>10</v>
      </c>
      <c r="I441" s="15">
        <f>WEEKDAY(Dataset!$A441)</f>
        <v>2</v>
      </c>
      <c r="J441" s="16">
        <f>Dataset!$D441-Dataset!$C441</f>
        <v>-5</v>
      </c>
    </row>
    <row r="442" spans="1:10" x14ac:dyDescent="0.25">
      <c r="A442" s="9">
        <v>44475</v>
      </c>
      <c r="B442" s="10" t="s">
        <v>15</v>
      </c>
      <c r="C442" s="10">
        <v>900</v>
      </c>
      <c r="D442" s="10"/>
      <c r="E442" s="10" t="s">
        <v>16</v>
      </c>
      <c r="F442" s="10" t="s">
        <v>17</v>
      </c>
      <c r="G442" s="10" t="s">
        <v>14</v>
      </c>
      <c r="H442" s="10">
        <f>MONTH(Dataset!$A442)</f>
        <v>10</v>
      </c>
      <c r="I442" s="11">
        <f>WEEKDAY(Dataset!$A442)</f>
        <v>4</v>
      </c>
      <c r="J442" s="12">
        <f>Dataset!$D442-Dataset!$C442</f>
        <v>-900</v>
      </c>
    </row>
    <row r="443" spans="1:10" x14ac:dyDescent="0.25">
      <c r="A443" s="13">
        <v>44475</v>
      </c>
      <c r="B443" s="14" t="s">
        <v>18</v>
      </c>
      <c r="C443" s="14">
        <v>150</v>
      </c>
      <c r="D443" s="14"/>
      <c r="E443" s="14" t="s">
        <v>19</v>
      </c>
      <c r="F443" s="14" t="s">
        <v>20</v>
      </c>
      <c r="G443" s="14" t="s">
        <v>14</v>
      </c>
      <c r="H443" s="14">
        <f>MONTH(Dataset!$A443)</f>
        <v>10</v>
      </c>
      <c r="I443" s="15">
        <f>WEEKDAY(Dataset!$A443)</f>
        <v>4</v>
      </c>
      <c r="J443" s="16">
        <f>Dataset!$D443-Dataset!$C443</f>
        <v>-150</v>
      </c>
    </row>
    <row r="444" spans="1:10" x14ac:dyDescent="0.25">
      <c r="A444" s="9">
        <v>44475</v>
      </c>
      <c r="B444" s="10" t="s">
        <v>11</v>
      </c>
      <c r="C444" s="10">
        <v>5</v>
      </c>
      <c r="D444" s="10"/>
      <c r="E444" s="10" t="s">
        <v>12</v>
      </c>
      <c r="F444" s="10" t="s">
        <v>13</v>
      </c>
      <c r="G444" s="10" t="s">
        <v>14</v>
      </c>
      <c r="H444" s="10">
        <f>MONTH(Dataset!$A444)</f>
        <v>10</v>
      </c>
      <c r="I444" s="11">
        <f>WEEKDAY(Dataset!$A444)</f>
        <v>4</v>
      </c>
      <c r="J444" s="12">
        <f>Dataset!$D444-Dataset!$C444</f>
        <v>-5</v>
      </c>
    </row>
    <row r="445" spans="1:10" x14ac:dyDescent="0.25">
      <c r="A445" s="13">
        <v>44475</v>
      </c>
      <c r="B445" s="14" t="s">
        <v>11</v>
      </c>
      <c r="C445" s="14">
        <v>5</v>
      </c>
      <c r="D445" s="14"/>
      <c r="E445" s="14" t="s">
        <v>12</v>
      </c>
      <c r="F445" s="14" t="s">
        <v>13</v>
      </c>
      <c r="G445" s="14" t="s">
        <v>14</v>
      </c>
      <c r="H445" s="14">
        <f>MONTH(Dataset!$A445)</f>
        <v>10</v>
      </c>
      <c r="I445" s="15">
        <f>WEEKDAY(Dataset!$A445)</f>
        <v>4</v>
      </c>
      <c r="J445" s="16">
        <f>Dataset!$D445-Dataset!$C445</f>
        <v>-5</v>
      </c>
    </row>
    <row r="446" spans="1:10" x14ac:dyDescent="0.25">
      <c r="A446" s="9">
        <v>44476</v>
      </c>
      <c r="B446" s="10" t="s">
        <v>11</v>
      </c>
      <c r="C446" s="10">
        <v>5</v>
      </c>
      <c r="D446" s="10"/>
      <c r="E446" s="10" t="s">
        <v>12</v>
      </c>
      <c r="F446" s="10" t="s">
        <v>13</v>
      </c>
      <c r="G446" s="10" t="s">
        <v>14</v>
      </c>
      <c r="H446" s="10">
        <f>MONTH(Dataset!$A446)</f>
        <v>10</v>
      </c>
      <c r="I446" s="11">
        <f>WEEKDAY(Dataset!$A446)</f>
        <v>5</v>
      </c>
      <c r="J446" s="12">
        <f>Dataset!$D446-Dataset!$C446</f>
        <v>-5</v>
      </c>
    </row>
    <row r="447" spans="1:10" x14ac:dyDescent="0.25">
      <c r="A447" s="13">
        <v>44477</v>
      </c>
      <c r="B447" s="14" t="s">
        <v>11</v>
      </c>
      <c r="C447" s="14">
        <v>5</v>
      </c>
      <c r="D447" s="14"/>
      <c r="E447" s="14" t="s">
        <v>12</v>
      </c>
      <c r="F447" s="14" t="s">
        <v>13</v>
      </c>
      <c r="G447" s="14" t="s">
        <v>14</v>
      </c>
      <c r="H447" s="14">
        <f>MONTH(Dataset!$A447)</f>
        <v>10</v>
      </c>
      <c r="I447" s="15">
        <f>WEEKDAY(Dataset!$A447)</f>
        <v>6</v>
      </c>
      <c r="J447" s="16">
        <f>Dataset!$D447-Dataset!$C447</f>
        <v>-5</v>
      </c>
    </row>
    <row r="448" spans="1:10" x14ac:dyDescent="0.25">
      <c r="A448" s="9">
        <v>44477</v>
      </c>
      <c r="B448" s="10" t="s">
        <v>21</v>
      </c>
      <c r="C448" s="10">
        <v>105</v>
      </c>
      <c r="D448" s="10"/>
      <c r="E448" s="10" t="s">
        <v>22</v>
      </c>
      <c r="F448" s="10" t="s">
        <v>17</v>
      </c>
      <c r="G448" s="10" t="s">
        <v>14</v>
      </c>
      <c r="H448" s="10">
        <f>MONTH(Dataset!$A448)</f>
        <v>10</v>
      </c>
      <c r="I448" s="11">
        <f>WEEKDAY(Dataset!$A448)</f>
        <v>6</v>
      </c>
      <c r="J448" s="12">
        <f>Dataset!$D448-Dataset!$C448</f>
        <v>-105</v>
      </c>
    </row>
    <row r="449" spans="1:10" x14ac:dyDescent="0.25">
      <c r="A449" s="13">
        <v>44480</v>
      </c>
      <c r="B449" s="14" t="s">
        <v>23</v>
      </c>
      <c r="C449" s="14">
        <v>59</v>
      </c>
      <c r="D449" s="14"/>
      <c r="E449" s="14" t="s">
        <v>24</v>
      </c>
      <c r="F449" s="14" t="s">
        <v>17</v>
      </c>
      <c r="G449" s="14" t="s">
        <v>14</v>
      </c>
      <c r="H449" s="14">
        <f>MONTH(Dataset!$A449)</f>
        <v>10</v>
      </c>
      <c r="I449" s="15">
        <f>WEEKDAY(Dataset!$A449)</f>
        <v>2</v>
      </c>
      <c r="J449" s="16">
        <f>Dataset!$D449-Dataset!$C449</f>
        <v>-59</v>
      </c>
    </row>
    <row r="450" spans="1:10" x14ac:dyDescent="0.25">
      <c r="A450" s="9">
        <v>44480</v>
      </c>
      <c r="B450" s="10" t="s">
        <v>11</v>
      </c>
      <c r="C450" s="10">
        <v>5</v>
      </c>
      <c r="D450" s="10"/>
      <c r="E450" s="10" t="s">
        <v>12</v>
      </c>
      <c r="F450" s="10" t="s">
        <v>13</v>
      </c>
      <c r="G450" s="10" t="s">
        <v>14</v>
      </c>
      <c r="H450" s="10">
        <f>MONTH(Dataset!$A450)</f>
        <v>10</v>
      </c>
      <c r="I450" s="11">
        <f>WEEKDAY(Dataset!$A450)</f>
        <v>2</v>
      </c>
      <c r="J450" s="12">
        <f>Dataset!$D450-Dataset!$C450</f>
        <v>-5</v>
      </c>
    </row>
    <row r="451" spans="1:10" x14ac:dyDescent="0.25">
      <c r="A451" s="13">
        <v>44481</v>
      </c>
      <c r="B451" s="14" t="s">
        <v>11</v>
      </c>
      <c r="C451" s="14">
        <v>5</v>
      </c>
      <c r="D451" s="14"/>
      <c r="E451" s="14" t="s">
        <v>12</v>
      </c>
      <c r="F451" s="14" t="s">
        <v>13</v>
      </c>
      <c r="G451" s="14" t="s">
        <v>14</v>
      </c>
      <c r="H451" s="14">
        <f>MONTH(Dataset!$A451)</f>
        <v>10</v>
      </c>
      <c r="I451" s="15">
        <f>WEEKDAY(Dataset!$A451)</f>
        <v>3</v>
      </c>
      <c r="J451" s="16">
        <f>Dataset!$D451-Dataset!$C451</f>
        <v>-5</v>
      </c>
    </row>
    <row r="452" spans="1:10" x14ac:dyDescent="0.25">
      <c r="A452" s="9">
        <v>44482</v>
      </c>
      <c r="B452" s="10" t="s">
        <v>25</v>
      </c>
      <c r="C452" s="10">
        <v>86.399999999999977</v>
      </c>
      <c r="D452" s="10"/>
      <c r="E452" s="10" t="s">
        <v>48</v>
      </c>
      <c r="F452" s="10" t="s">
        <v>20</v>
      </c>
      <c r="G452" s="10" t="s">
        <v>14</v>
      </c>
      <c r="H452" s="10">
        <f>MONTH(Dataset!$A452)</f>
        <v>10</v>
      </c>
      <c r="I452" s="11">
        <f>WEEKDAY(Dataset!$A452)</f>
        <v>4</v>
      </c>
      <c r="J452" s="12">
        <f>Dataset!$D452-Dataset!$C452</f>
        <v>-86.399999999999977</v>
      </c>
    </row>
    <row r="453" spans="1:10" x14ac:dyDescent="0.25">
      <c r="A453" s="13">
        <v>44482</v>
      </c>
      <c r="B453" s="14" t="s">
        <v>11</v>
      </c>
      <c r="C453" s="14">
        <v>5</v>
      </c>
      <c r="D453" s="14"/>
      <c r="E453" s="14" t="s">
        <v>12</v>
      </c>
      <c r="F453" s="14" t="s">
        <v>13</v>
      </c>
      <c r="G453" s="14" t="s">
        <v>14</v>
      </c>
      <c r="H453" s="14">
        <f>MONTH(Dataset!$A453)</f>
        <v>10</v>
      </c>
      <c r="I453" s="15">
        <f>WEEKDAY(Dataset!$A453)</f>
        <v>4</v>
      </c>
      <c r="J453" s="16">
        <f>Dataset!$D453-Dataset!$C453</f>
        <v>-5</v>
      </c>
    </row>
    <row r="454" spans="1:10" x14ac:dyDescent="0.25">
      <c r="A454" s="9">
        <v>44483</v>
      </c>
      <c r="B454" s="10" t="s">
        <v>11</v>
      </c>
      <c r="C454" s="10">
        <v>5</v>
      </c>
      <c r="D454" s="10"/>
      <c r="E454" s="10" t="s">
        <v>12</v>
      </c>
      <c r="F454" s="10" t="s">
        <v>13</v>
      </c>
      <c r="G454" s="10" t="s">
        <v>14</v>
      </c>
      <c r="H454" s="10">
        <f>MONTH(Dataset!$A454)</f>
        <v>10</v>
      </c>
      <c r="I454" s="11">
        <f>WEEKDAY(Dataset!$A454)</f>
        <v>5</v>
      </c>
      <c r="J454" s="12">
        <f>Dataset!$D454-Dataset!$C454</f>
        <v>-5</v>
      </c>
    </row>
    <row r="455" spans="1:10" x14ac:dyDescent="0.25">
      <c r="A455" s="13">
        <v>44484</v>
      </c>
      <c r="B455" s="14" t="s">
        <v>21</v>
      </c>
      <c r="C455" s="14">
        <v>143.9</v>
      </c>
      <c r="D455" s="14"/>
      <c r="E455" s="14" t="s">
        <v>22</v>
      </c>
      <c r="F455" s="14" t="s">
        <v>17</v>
      </c>
      <c r="G455" s="14" t="s">
        <v>14</v>
      </c>
      <c r="H455" s="14">
        <f>MONTH(Dataset!$A455)</f>
        <v>10</v>
      </c>
      <c r="I455" s="15">
        <f>WEEKDAY(Dataset!$A455)</f>
        <v>6</v>
      </c>
      <c r="J455" s="16">
        <f>Dataset!$D455-Dataset!$C455</f>
        <v>-143.9</v>
      </c>
    </row>
    <row r="456" spans="1:10" x14ac:dyDescent="0.25">
      <c r="A456" s="9">
        <v>44484</v>
      </c>
      <c r="B456" s="10" t="s">
        <v>11</v>
      </c>
      <c r="C456" s="10">
        <v>5</v>
      </c>
      <c r="D456" s="10"/>
      <c r="E456" s="10" t="s">
        <v>12</v>
      </c>
      <c r="F456" s="10" t="s">
        <v>13</v>
      </c>
      <c r="G456" s="10" t="s">
        <v>14</v>
      </c>
      <c r="H456" s="10">
        <f>MONTH(Dataset!$A456)</f>
        <v>10</v>
      </c>
      <c r="I456" s="11">
        <f>WEEKDAY(Dataset!$A456)</f>
        <v>6</v>
      </c>
      <c r="J456" s="12">
        <f>Dataset!$D456-Dataset!$C456</f>
        <v>-5</v>
      </c>
    </row>
    <row r="457" spans="1:10" x14ac:dyDescent="0.25">
      <c r="A457" s="13">
        <v>44485</v>
      </c>
      <c r="B457" s="14" t="s">
        <v>11</v>
      </c>
      <c r="C457" s="14">
        <v>5</v>
      </c>
      <c r="D457" s="14"/>
      <c r="E457" s="14" t="s">
        <v>12</v>
      </c>
      <c r="F457" s="14" t="s">
        <v>13</v>
      </c>
      <c r="G457" s="14" t="s">
        <v>14</v>
      </c>
      <c r="H457" s="14">
        <f>MONTH(Dataset!$A457)</f>
        <v>10</v>
      </c>
      <c r="I457" s="15">
        <f>WEEKDAY(Dataset!$A457)</f>
        <v>7</v>
      </c>
      <c r="J457" s="16">
        <f>Dataset!$D457-Dataset!$C457</f>
        <v>-5</v>
      </c>
    </row>
    <row r="458" spans="1:10" x14ac:dyDescent="0.25">
      <c r="A458" s="9">
        <v>44485</v>
      </c>
      <c r="B458" s="10" t="s">
        <v>26</v>
      </c>
      <c r="C458" s="10">
        <v>48.8</v>
      </c>
      <c r="D458" s="10"/>
      <c r="E458" s="10" t="s">
        <v>27</v>
      </c>
      <c r="F458" s="10" t="s">
        <v>28</v>
      </c>
      <c r="G458" s="10" t="s">
        <v>14</v>
      </c>
      <c r="H458" s="10">
        <f>MONTH(Dataset!$A458)</f>
        <v>10</v>
      </c>
      <c r="I458" s="11">
        <f>WEEKDAY(Dataset!$A458)</f>
        <v>7</v>
      </c>
      <c r="J458" s="12">
        <f>Dataset!$D458-Dataset!$C458</f>
        <v>-48.8</v>
      </c>
    </row>
    <row r="459" spans="1:10" x14ac:dyDescent="0.25">
      <c r="A459" s="13">
        <v>44485</v>
      </c>
      <c r="B459" s="14" t="s">
        <v>29</v>
      </c>
      <c r="C459" s="14">
        <v>106.70000000000002</v>
      </c>
      <c r="D459" s="14"/>
      <c r="E459" s="14" t="s">
        <v>30</v>
      </c>
      <c r="F459" s="14" t="s">
        <v>28</v>
      </c>
      <c r="G459" s="14" t="s">
        <v>14</v>
      </c>
      <c r="H459" s="14">
        <f>MONTH(Dataset!$A459)</f>
        <v>10</v>
      </c>
      <c r="I459" s="15">
        <f>WEEKDAY(Dataset!$A459)</f>
        <v>7</v>
      </c>
      <c r="J459" s="16">
        <f>Dataset!$D459-Dataset!$C459</f>
        <v>-106.70000000000002</v>
      </c>
    </row>
    <row r="460" spans="1:10" x14ac:dyDescent="0.25">
      <c r="A460" s="9">
        <v>44485</v>
      </c>
      <c r="B460" s="10" t="s">
        <v>31</v>
      </c>
      <c r="C460" s="10">
        <v>61.1</v>
      </c>
      <c r="D460" s="10"/>
      <c r="E460" s="10" t="s">
        <v>32</v>
      </c>
      <c r="F460" s="10" t="s">
        <v>13</v>
      </c>
      <c r="G460" s="10" t="s">
        <v>14</v>
      </c>
      <c r="H460" s="10">
        <f>MONTH(Dataset!$A460)</f>
        <v>10</v>
      </c>
      <c r="I460" s="11">
        <f>WEEKDAY(Dataset!$A460)</f>
        <v>7</v>
      </c>
      <c r="J460" s="12">
        <f>Dataset!$D460-Dataset!$C460</f>
        <v>-61.1</v>
      </c>
    </row>
    <row r="461" spans="1:10" x14ac:dyDescent="0.25">
      <c r="A461" s="13">
        <v>44486</v>
      </c>
      <c r="B461" s="14" t="s">
        <v>33</v>
      </c>
      <c r="C461" s="14">
        <v>37.200000000000003</v>
      </c>
      <c r="D461" s="14"/>
      <c r="E461" s="14" t="s">
        <v>34</v>
      </c>
      <c r="F461" s="14" t="s">
        <v>20</v>
      </c>
      <c r="G461" s="14" t="s">
        <v>14</v>
      </c>
      <c r="H461" s="14">
        <f>MONTH(Dataset!$A461)</f>
        <v>10</v>
      </c>
      <c r="I461" s="15">
        <f>WEEKDAY(Dataset!$A461)</f>
        <v>1</v>
      </c>
      <c r="J461" s="16">
        <f>Dataset!$D461-Dataset!$C461</f>
        <v>-37.200000000000003</v>
      </c>
    </row>
    <row r="462" spans="1:10" x14ac:dyDescent="0.25">
      <c r="A462" s="9">
        <v>44487</v>
      </c>
      <c r="B462" s="10" t="s">
        <v>35</v>
      </c>
      <c r="C462" s="10"/>
      <c r="D462" s="10">
        <v>100</v>
      </c>
      <c r="E462" s="10" t="s">
        <v>36</v>
      </c>
      <c r="F462" s="10" t="s">
        <v>37</v>
      </c>
      <c r="G462" s="10" t="s">
        <v>10</v>
      </c>
      <c r="H462" s="10">
        <f>MONTH(Dataset!$A462)</f>
        <v>10</v>
      </c>
      <c r="I462" s="11">
        <f>WEEKDAY(Dataset!$A462)</f>
        <v>2</v>
      </c>
      <c r="J462" s="12">
        <f>Dataset!$D462-Dataset!$C462</f>
        <v>100</v>
      </c>
    </row>
    <row r="463" spans="1:10" x14ac:dyDescent="0.25">
      <c r="A463" s="13">
        <v>44487</v>
      </c>
      <c r="B463" s="14" t="s">
        <v>11</v>
      </c>
      <c r="C463" s="14">
        <v>5</v>
      </c>
      <c r="D463" s="14"/>
      <c r="E463" s="14" t="s">
        <v>12</v>
      </c>
      <c r="F463" s="14" t="s">
        <v>13</v>
      </c>
      <c r="G463" s="14" t="s">
        <v>14</v>
      </c>
      <c r="H463" s="14">
        <f>MONTH(Dataset!$A463)</f>
        <v>10</v>
      </c>
      <c r="I463" s="15">
        <f>WEEKDAY(Dataset!$A463)</f>
        <v>2</v>
      </c>
      <c r="J463" s="16">
        <f>Dataset!$D463-Dataset!$C463</f>
        <v>-5</v>
      </c>
    </row>
    <row r="464" spans="1:10" x14ac:dyDescent="0.25">
      <c r="A464" s="9">
        <v>44488</v>
      </c>
      <c r="B464" s="10" t="s">
        <v>11</v>
      </c>
      <c r="C464" s="10">
        <v>5</v>
      </c>
      <c r="D464" s="10"/>
      <c r="E464" s="10" t="s">
        <v>12</v>
      </c>
      <c r="F464" s="10" t="s">
        <v>13</v>
      </c>
      <c r="G464" s="10" t="s">
        <v>14</v>
      </c>
      <c r="H464" s="10">
        <f>MONTH(Dataset!$A464)</f>
        <v>10</v>
      </c>
      <c r="I464" s="11">
        <f>WEEKDAY(Dataset!$A464)</f>
        <v>3</v>
      </c>
      <c r="J464" s="12">
        <f>Dataset!$D464-Dataset!$C464</f>
        <v>-5</v>
      </c>
    </row>
    <row r="465" spans="1:10" x14ac:dyDescent="0.25">
      <c r="A465" s="13">
        <v>44488</v>
      </c>
      <c r="B465" s="14" t="s">
        <v>52</v>
      </c>
      <c r="C465" s="14">
        <v>75</v>
      </c>
      <c r="D465" s="14"/>
      <c r="E465" s="14" t="s">
        <v>53</v>
      </c>
      <c r="F465" s="14" t="s">
        <v>54</v>
      </c>
      <c r="G465" s="14" t="s">
        <v>14</v>
      </c>
      <c r="H465" s="14">
        <f>MONTH(Dataset!$A465)</f>
        <v>10</v>
      </c>
      <c r="I465" s="15">
        <f>WEEKDAY(Dataset!$A465)</f>
        <v>3</v>
      </c>
      <c r="J465" s="16">
        <f>Dataset!$D465-Dataset!$C465</f>
        <v>-75</v>
      </c>
    </row>
    <row r="466" spans="1:10" x14ac:dyDescent="0.25">
      <c r="A466" s="9">
        <v>44488</v>
      </c>
      <c r="B466" s="10" t="s">
        <v>39</v>
      </c>
      <c r="C466" s="10">
        <v>40</v>
      </c>
      <c r="D466" s="10"/>
      <c r="E466" s="10" t="s">
        <v>39</v>
      </c>
      <c r="F466" s="10" t="s">
        <v>17</v>
      </c>
      <c r="G466" s="10" t="s">
        <v>14</v>
      </c>
      <c r="H466" s="10">
        <f>MONTH(Dataset!$A466)</f>
        <v>10</v>
      </c>
      <c r="I466" s="11">
        <f>WEEKDAY(Dataset!$A466)</f>
        <v>3</v>
      </c>
      <c r="J466" s="12">
        <f>Dataset!$D466-Dataset!$C466</f>
        <v>-40</v>
      </c>
    </row>
    <row r="467" spans="1:10" x14ac:dyDescent="0.25">
      <c r="A467" s="13">
        <v>44489</v>
      </c>
      <c r="B467" s="14" t="s">
        <v>40</v>
      </c>
      <c r="C467" s="14">
        <v>54.1</v>
      </c>
      <c r="D467" s="14"/>
      <c r="E467" s="14" t="s">
        <v>41</v>
      </c>
      <c r="F467" s="14" t="s">
        <v>28</v>
      </c>
      <c r="G467" s="14" t="s">
        <v>14</v>
      </c>
      <c r="H467" s="14">
        <f>MONTH(Dataset!$A467)</f>
        <v>10</v>
      </c>
      <c r="I467" s="15">
        <f>WEEKDAY(Dataset!$A467)</f>
        <v>4</v>
      </c>
      <c r="J467" s="16">
        <f>Dataset!$D467-Dataset!$C467</f>
        <v>-54.1</v>
      </c>
    </row>
    <row r="468" spans="1:10" x14ac:dyDescent="0.25">
      <c r="A468" s="9">
        <v>44489</v>
      </c>
      <c r="B468" s="10" t="s">
        <v>42</v>
      </c>
      <c r="C468" s="10">
        <v>35</v>
      </c>
      <c r="D468" s="10"/>
      <c r="E468" s="10" t="s">
        <v>27</v>
      </c>
      <c r="F468" s="10" t="s">
        <v>28</v>
      </c>
      <c r="G468" s="10" t="s">
        <v>14</v>
      </c>
      <c r="H468" s="10">
        <f>MONTH(Dataset!$A468)</f>
        <v>10</v>
      </c>
      <c r="I468" s="11">
        <f>WEEKDAY(Dataset!$A468)</f>
        <v>4</v>
      </c>
      <c r="J468" s="12">
        <f>Dataset!$D468-Dataset!$C468</f>
        <v>-35</v>
      </c>
    </row>
    <row r="469" spans="1:10" x14ac:dyDescent="0.25">
      <c r="A469" s="13">
        <v>44489</v>
      </c>
      <c r="B469" s="14" t="s">
        <v>11</v>
      </c>
      <c r="C469" s="14">
        <v>5</v>
      </c>
      <c r="D469" s="14"/>
      <c r="E469" s="14" t="s">
        <v>12</v>
      </c>
      <c r="F469" s="14" t="s">
        <v>13</v>
      </c>
      <c r="G469" s="14" t="s">
        <v>14</v>
      </c>
      <c r="H469" s="14">
        <f>MONTH(Dataset!$A469)</f>
        <v>10</v>
      </c>
      <c r="I469" s="15">
        <f>WEEKDAY(Dataset!$A469)</f>
        <v>4</v>
      </c>
      <c r="J469" s="16">
        <f>Dataset!$D469-Dataset!$C469</f>
        <v>-5</v>
      </c>
    </row>
    <row r="470" spans="1:10" x14ac:dyDescent="0.25">
      <c r="A470" s="9">
        <v>44490</v>
      </c>
      <c r="B470" s="10" t="s">
        <v>11</v>
      </c>
      <c r="C470" s="10">
        <v>5</v>
      </c>
      <c r="D470" s="10"/>
      <c r="E470" s="10" t="s">
        <v>12</v>
      </c>
      <c r="F470" s="10" t="s">
        <v>13</v>
      </c>
      <c r="G470" s="10" t="s">
        <v>14</v>
      </c>
      <c r="H470" s="10">
        <f>MONTH(Dataset!$A470)</f>
        <v>10</v>
      </c>
      <c r="I470" s="11">
        <f>WEEKDAY(Dataset!$A470)</f>
        <v>5</v>
      </c>
      <c r="J470" s="12">
        <f>Dataset!$D470-Dataset!$C470</f>
        <v>-5</v>
      </c>
    </row>
    <row r="471" spans="1:10" x14ac:dyDescent="0.25">
      <c r="A471" s="13">
        <v>44491</v>
      </c>
      <c r="B471" s="14" t="s">
        <v>11</v>
      </c>
      <c r="C471" s="14">
        <v>5</v>
      </c>
      <c r="D471" s="14"/>
      <c r="E471" s="14" t="s">
        <v>12</v>
      </c>
      <c r="F471" s="14" t="s">
        <v>13</v>
      </c>
      <c r="G471" s="14" t="s">
        <v>14</v>
      </c>
      <c r="H471" s="14">
        <f>MONTH(Dataset!$A471)</f>
        <v>10</v>
      </c>
      <c r="I471" s="15">
        <f>WEEKDAY(Dataset!$A471)</f>
        <v>6</v>
      </c>
      <c r="J471" s="16">
        <f>Dataset!$D471-Dataset!$C471</f>
        <v>-5</v>
      </c>
    </row>
    <row r="472" spans="1:10" x14ac:dyDescent="0.25">
      <c r="A472" s="9">
        <v>44491</v>
      </c>
      <c r="B472" s="10" t="s">
        <v>21</v>
      </c>
      <c r="C472" s="10">
        <v>178.9</v>
      </c>
      <c r="D472" s="10"/>
      <c r="E472" s="10" t="s">
        <v>22</v>
      </c>
      <c r="F472" s="10" t="s">
        <v>17</v>
      </c>
      <c r="G472" s="10" t="s">
        <v>14</v>
      </c>
      <c r="H472" s="10">
        <f>MONTH(Dataset!$A472)</f>
        <v>10</v>
      </c>
      <c r="I472" s="11">
        <f>WEEKDAY(Dataset!$A472)</f>
        <v>6</v>
      </c>
      <c r="J472" s="12">
        <f>Dataset!$D472-Dataset!$C472</f>
        <v>-178.9</v>
      </c>
    </row>
    <row r="473" spans="1:10" x14ac:dyDescent="0.25">
      <c r="A473" s="13">
        <v>44492</v>
      </c>
      <c r="B473" s="14" t="s">
        <v>43</v>
      </c>
      <c r="C473" s="14">
        <v>46.2</v>
      </c>
      <c r="D473" s="14"/>
      <c r="E473" s="14" t="s">
        <v>32</v>
      </c>
      <c r="F473" s="14" t="s">
        <v>13</v>
      </c>
      <c r="G473" s="14" t="s">
        <v>14</v>
      </c>
      <c r="H473" s="14">
        <f>MONTH(Dataset!$A473)</f>
        <v>10</v>
      </c>
      <c r="I473" s="15">
        <f>WEEKDAY(Dataset!$A473)</f>
        <v>7</v>
      </c>
      <c r="J473" s="16">
        <f>Dataset!$D473-Dataset!$C473</f>
        <v>-46.2</v>
      </c>
    </row>
    <row r="474" spans="1:10" x14ac:dyDescent="0.25">
      <c r="A474" s="9">
        <v>44493</v>
      </c>
      <c r="B474" s="10" t="s">
        <v>44</v>
      </c>
      <c r="C474" s="10">
        <v>21.099999999999998</v>
      </c>
      <c r="D474" s="10"/>
      <c r="E474" s="10" t="s">
        <v>32</v>
      </c>
      <c r="F474" s="10" t="s">
        <v>13</v>
      </c>
      <c r="G474" s="10" t="s">
        <v>14</v>
      </c>
      <c r="H474" s="10">
        <f>MONTH(Dataset!$A474)</f>
        <v>10</v>
      </c>
      <c r="I474" s="11">
        <f>WEEKDAY(Dataset!$A474)</f>
        <v>1</v>
      </c>
      <c r="J474" s="12">
        <f>Dataset!$D474-Dataset!$C474</f>
        <v>-21.099999999999998</v>
      </c>
    </row>
    <row r="475" spans="1:10" x14ac:dyDescent="0.25">
      <c r="A475" s="13">
        <v>44494</v>
      </c>
      <c r="B475" s="14" t="s">
        <v>45</v>
      </c>
      <c r="C475" s="14">
        <v>55</v>
      </c>
      <c r="D475" s="14"/>
      <c r="E475" s="14" t="s">
        <v>46</v>
      </c>
      <c r="F475" s="14" t="s">
        <v>47</v>
      </c>
      <c r="G475" s="14" t="s">
        <v>14</v>
      </c>
      <c r="H475" s="14">
        <f>MONTH(Dataset!$A475)</f>
        <v>10</v>
      </c>
      <c r="I475" s="15">
        <f>WEEKDAY(Dataset!$A475)</f>
        <v>2</v>
      </c>
      <c r="J475" s="16">
        <f>Dataset!$D475-Dataset!$C475</f>
        <v>-55</v>
      </c>
    </row>
    <row r="476" spans="1:10" x14ac:dyDescent="0.25">
      <c r="A476" s="9">
        <v>44494</v>
      </c>
      <c r="B476" s="10" t="s">
        <v>25</v>
      </c>
      <c r="C476" s="10">
        <v>71.500000000000028</v>
      </c>
      <c r="D476" s="10"/>
      <c r="E476" s="10" t="s">
        <v>48</v>
      </c>
      <c r="F476" s="10" t="s">
        <v>20</v>
      </c>
      <c r="G476" s="10" t="s">
        <v>14</v>
      </c>
      <c r="H476" s="10">
        <f>MONTH(Dataset!$A476)</f>
        <v>10</v>
      </c>
      <c r="I476" s="11">
        <f>WEEKDAY(Dataset!$A476)</f>
        <v>2</v>
      </c>
      <c r="J476" s="12">
        <f>Dataset!$D476-Dataset!$C476</f>
        <v>-71.500000000000028</v>
      </c>
    </row>
    <row r="477" spans="1:10" x14ac:dyDescent="0.25">
      <c r="A477" s="13">
        <v>44494</v>
      </c>
      <c r="B477" s="14" t="s">
        <v>11</v>
      </c>
      <c r="C477" s="14">
        <v>5</v>
      </c>
      <c r="D477" s="14"/>
      <c r="E477" s="14" t="s">
        <v>12</v>
      </c>
      <c r="F477" s="14" t="s">
        <v>13</v>
      </c>
      <c r="G477" s="14" t="s">
        <v>14</v>
      </c>
      <c r="H477" s="14">
        <f>MONTH(Dataset!$A477)</f>
        <v>10</v>
      </c>
      <c r="I477" s="15">
        <f>WEEKDAY(Dataset!$A477)</f>
        <v>2</v>
      </c>
      <c r="J477" s="16">
        <f>Dataset!$D477-Dataset!$C477</f>
        <v>-5</v>
      </c>
    </row>
    <row r="478" spans="1:10" x14ac:dyDescent="0.25">
      <c r="A478" s="9">
        <v>44495</v>
      </c>
      <c r="B478" s="10" t="s">
        <v>11</v>
      </c>
      <c r="C478" s="10">
        <v>5</v>
      </c>
      <c r="D478" s="10"/>
      <c r="E478" s="10" t="s">
        <v>12</v>
      </c>
      <c r="F478" s="10" t="s">
        <v>13</v>
      </c>
      <c r="G478" s="10" t="s">
        <v>14</v>
      </c>
      <c r="H478" s="10">
        <f>MONTH(Dataset!$A478)</f>
        <v>10</v>
      </c>
      <c r="I478" s="11">
        <f>WEEKDAY(Dataset!$A478)</f>
        <v>3</v>
      </c>
      <c r="J478" s="12">
        <f>Dataset!$D478-Dataset!$C478</f>
        <v>-5</v>
      </c>
    </row>
    <row r="479" spans="1:10" x14ac:dyDescent="0.25">
      <c r="A479" s="13">
        <v>44496</v>
      </c>
      <c r="B479" s="14" t="s">
        <v>11</v>
      </c>
      <c r="C479" s="14">
        <v>5</v>
      </c>
      <c r="D479" s="14"/>
      <c r="E479" s="14" t="s">
        <v>12</v>
      </c>
      <c r="F479" s="14" t="s">
        <v>13</v>
      </c>
      <c r="G479" s="14" t="s">
        <v>14</v>
      </c>
      <c r="H479" s="14">
        <f>MONTH(Dataset!$A479)</f>
        <v>10</v>
      </c>
      <c r="I479" s="15">
        <f>WEEKDAY(Dataset!$A479)</f>
        <v>4</v>
      </c>
      <c r="J479" s="16">
        <f>Dataset!$D479-Dataset!$C479</f>
        <v>-5</v>
      </c>
    </row>
    <row r="480" spans="1:10" x14ac:dyDescent="0.25">
      <c r="A480" s="9">
        <v>44497</v>
      </c>
      <c r="B480" s="10" t="s">
        <v>11</v>
      </c>
      <c r="C480" s="10">
        <v>5</v>
      </c>
      <c r="D480" s="10"/>
      <c r="E480" s="10" t="s">
        <v>12</v>
      </c>
      <c r="F480" s="10" t="s">
        <v>13</v>
      </c>
      <c r="G480" s="10" t="s">
        <v>14</v>
      </c>
      <c r="H480" s="10">
        <f>MONTH(Dataset!$A480)</f>
        <v>10</v>
      </c>
      <c r="I480" s="11">
        <f>WEEKDAY(Dataset!$A480)</f>
        <v>5</v>
      </c>
      <c r="J480" s="12">
        <f>Dataset!$D480-Dataset!$C480</f>
        <v>-5</v>
      </c>
    </row>
    <row r="481" spans="1:10" x14ac:dyDescent="0.25">
      <c r="A481" s="13">
        <v>44498</v>
      </c>
      <c r="B481" s="14" t="s">
        <v>11</v>
      </c>
      <c r="C481" s="14">
        <v>5</v>
      </c>
      <c r="D481" s="14"/>
      <c r="E481" s="14" t="s">
        <v>12</v>
      </c>
      <c r="F481" s="14" t="s">
        <v>13</v>
      </c>
      <c r="G481" s="14" t="s">
        <v>14</v>
      </c>
      <c r="H481" s="14">
        <f>MONTH(Dataset!$A481)</f>
        <v>10</v>
      </c>
      <c r="I481" s="15">
        <f>WEEKDAY(Dataset!$A481)</f>
        <v>6</v>
      </c>
      <c r="J481" s="16">
        <f>Dataset!$D481-Dataset!$C481</f>
        <v>-5</v>
      </c>
    </row>
    <row r="482" spans="1:10" x14ac:dyDescent="0.25">
      <c r="A482" s="9">
        <v>44498</v>
      </c>
      <c r="B482" s="10" t="s">
        <v>21</v>
      </c>
      <c r="C482" s="10">
        <v>189</v>
      </c>
      <c r="D482" s="10"/>
      <c r="E482" s="10" t="s">
        <v>22</v>
      </c>
      <c r="F482" s="10" t="s">
        <v>17</v>
      </c>
      <c r="G482" s="10" t="s">
        <v>14</v>
      </c>
      <c r="H482" s="10">
        <f>MONTH(Dataset!$A482)</f>
        <v>10</v>
      </c>
      <c r="I482" s="11">
        <f>WEEKDAY(Dataset!$A482)</f>
        <v>6</v>
      </c>
      <c r="J482" s="12">
        <f>Dataset!$D482-Dataset!$C482</f>
        <v>-189</v>
      </c>
    </row>
    <row r="483" spans="1:10" x14ac:dyDescent="0.25">
      <c r="A483" s="13">
        <v>44499</v>
      </c>
      <c r="B483" s="14" t="s">
        <v>49</v>
      </c>
      <c r="C483" s="14">
        <v>133.80000000000001</v>
      </c>
      <c r="D483" s="14"/>
      <c r="E483" s="14" t="s">
        <v>30</v>
      </c>
      <c r="F483" s="14" t="s">
        <v>28</v>
      </c>
      <c r="G483" s="14" t="s">
        <v>14</v>
      </c>
      <c r="H483" s="14">
        <f>MONTH(Dataset!$A483)</f>
        <v>10</v>
      </c>
      <c r="I483" s="15">
        <f>WEEKDAY(Dataset!$A483)</f>
        <v>7</v>
      </c>
      <c r="J483" s="16">
        <f>Dataset!$D483-Dataset!$C483</f>
        <v>-133.80000000000001</v>
      </c>
    </row>
    <row r="484" spans="1:10" x14ac:dyDescent="0.25">
      <c r="A484" s="9">
        <v>44499</v>
      </c>
      <c r="B484" s="10" t="s">
        <v>50</v>
      </c>
      <c r="C484" s="10">
        <v>184.39999999999998</v>
      </c>
      <c r="D484" s="10"/>
      <c r="E484" s="10" t="s">
        <v>27</v>
      </c>
      <c r="F484" s="10" t="s">
        <v>28</v>
      </c>
      <c r="G484" s="10" t="s">
        <v>14</v>
      </c>
      <c r="H484" s="10">
        <f>MONTH(Dataset!$A484)</f>
        <v>10</v>
      </c>
      <c r="I484" s="11">
        <f>WEEKDAY(Dataset!$A484)</f>
        <v>7</v>
      </c>
      <c r="J484" s="12">
        <f>Dataset!$D484-Dataset!$C484</f>
        <v>-184.39999999999998</v>
      </c>
    </row>
    <row r="485" spans="1:10" x14ac:dyDescent="0.25">
      <c r="A485" s="13">
        <v>44500</v>
      </c>
      <c r="B485" s="14" t="s">
        <v>29</v>
      </c>
      <c r="C485" s="14">
        <v>154.49999999999997</v>
      </c>
      <c r="D485" s="14"/>
      <c r="E485" s="14" t="s">
        <v>30</v>
      </c>
      <c r="F485" s="14" t="s">
        <v>28</v>
      </c>
      <c r="G485" s="14" t="s">
        <v>14</v>
      </c>
      <c r="H485" s="14">
        <f>MONTH(Dataset!$A485)</f>
        <v>10</v>
      </c>
      <c r="I485" s="15">
        <f>WEEKDAY(Dataset!$A485)</f>
        <v>1</v>
      </c>
      <c r="J485" s="16">
        <f>Dataset!$D485-Dataset!$C485</f>
        <v>-154.49999999999997</v>
      </c>
    </row>
    <row r="486" spans="1:10" x14ac:dyDescent="0.25">
      <c r="A486" s="9">
        <v>44500</v>
      </c>
      <c r="B486" s="10" t="s">
        <v>33</v>
      </c>
      <c r="C486" s="10">
        <v>32.1</v>
      </c>
      <c r="D486" s="10"/>
      <c r="E486" s="10" t="s">
        <v>34</v>
      </c>
      <c r="F486" s="10" t="s">
        <v>20</v>
      </c>
      <c r="G486" s="10" t="s">
        <v>14</v>
      </c>
      <c r="H486" s="10">
        <f>MONTH(Dataset!$A486)</f>
        <v>10</v>
      </c>
      <c r="I486" s="11">
        <f>WEEKDAY(Dataset!$A486)</f>
        <v>1</v>
      </c>
      <c r="J486" s="12">
        <f>Dataset!$D486-Dataset!$C486</f>
        <v>-32.1</v>
      </c>
    </row>
    <row r="487" spans="1:10" x14ac:dyDescent="0.25">
      <c r="A487" s="17">
        <v>44500</v>
      </c>
      <c r="B487" s="3" t="s">
        <v>56</v>
      </c>
      <c r="C487" s="3">
        <v>15</v>
      </c>
      <c r="D487" s="3"/>
      <c r="E487" s="3" t="s">
        <v>32</v>
      </c>
      <c r="F487" s="3" t="s">
        <v>13</v>
      </c>
      <c r="G487" s="3" t="s">
        <v>14</v>
      </c>
      <c r="H487" s="3">
        <f>MONTH(Dataset!$A487)</f>
        <v>10</v>
      </c>
      <c r="I487" s="18">
        <f>WEEKDAY(Dataset!$A487)</f>
        <v>1</v>
      </c>
      <c r="J487" s="4">
        <f>Dataset!$D487-Dataset!$C487</f>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E29C-D6C2-4E3B-A532-9EBE0D667FDD}">
  <dimension ref="A1:L487"/>
  <sheetViews>
    <sheetView workbookViewId="0">
      <selection sqref="A1:L487"/>
    </sheetView>
  </sheetViews>
  <sheetFormatPr defaultRowHeight="15" x14ac:dyDescent="0.25"/>
  <cols>
    <col min="1" max="1" width="9.140625" style="21"/>
    <col min="3" max="3" width="20.5703125" bestFit="1" customWidth="1"/>
    <col min="4" max="4" width="17.7109375" bestFit="1" customWidth="1"/>
    <col min="5" max="5" width="15" bestFit="1" customWidth="1"/>
    <col min="6" max="6" width="16.28515625" customWidth="1"/>
    <col min="7" max="7" width="10.28515625" customWidth="1"/>
    <col min="8" max="8" width="17.140625" customWidth="1"/>
    <col min="9" max="9" width="15.140625" customWidth="1"/>
    <col min="10" max="10" width="10.5703125" customWidth="1"/>
    <col min="11" max="11" width="17.28515625" customWidth="1"/>
    <col min="12" max="12" width="15.7109375" customWidth="1"/>
  </cols>
  <sheetData>
    <row r="1" spans="1:12" s="22" customFormat="1" x14ac:dyDescent="0.25">
      <c r="A1" s="27" t="s">
        <v>0</v>
      </c>
      <c r="B1" s="28" t="s">
        <v>87</v>
      </c>
      <c r="C1" s="28" t="s">
        <v>1</v>
      </c>
      <c r="D1" s="28" t="s">
        <v>4</v>
      </c>
      <c r="E1" s="28" t="s">
        <v>5</v>
      </c>
      <c r="F1" s="28" t="s">
        <v>88</v>
      </c>
      <c r="G1" s="28" t="s">
        <v>63</v>
      </c>
      <c r="H1" s="28" t="s">
        <v>90</v>
      </c>
      <c r="I1" s="28" t="s">
        <v>91</v>
      </c>
      <c r="J1" s="28" t="s">
        <v>14</v>
      </c>
      <c r="K1" s="28" t="s">
        <v>89</v>
      </c>
      <c r="L1" s="28" t="s">
        <v>92</v>
      </c>
    </row>
    <row r="2" spans="1:12" x14ac:dyDescent="0.25">
      <c r="A2" s="21">
        <v>44200</v>
      </c>
      <c r="B2">
        <v>2021</v>
      </c>
      <c r="C2" t="s">
        <v>7</v>
      </c>
      <c r="D2" t="s">
        <v>8</v>
      </c>
      <c r="E2" t="s">
        <v>9</v>
      </c>
      <c r="F2" t="s">
        <v>9</v>
      </c>
      <c r="G2">
        <v>5000</v>
      </c>
      <c r="H2" t="s">
        <v>70</v>
      </c>
      <c r="I2">
        <v>5000</v>
      </c>
      <c r="J2">
        <v>0</v>
      </c>
      <c r="K2">
        <v>5000</v>
      </c>
      <c r="L2" t="s">
        <v>93</v>
      </c>
    </row>
    <row r="3" spans="1:12" x14ac:dyDescent="0.25">
      <c r="A3" s="21">
        <v>44200</v>
      </c>
      <c r="B3">
        <v>2021</v>
      </c>
      <c r="C3" t="s">
        <v>11</v>
      </c>
      <c r="D3" t="s">
        <v>12</v>
      </c>
      <c r="E3" t="s">
        <v>13</v>
      </c>
      <c r="F3" t="s">
        <v>64</v>
      </c>
      <c r="G3">
        <v>-5</v>
      </c>
      <c r="H3" t="s">
        <v>71</v>
      </c>
      <c r="I3">
        <v>0</v>
      </c>
      <c r="J3">
        <v>5</v>
      </c>
      <c r="K3">
        <v>-5</v>
      </c>
      <c r="L3" t="s">
        <v>94</v>
      </c>
    </row>
    <row r="4" spans="1:12" x14ac:dyDescent="0.25">
      <c r="A4" s="21">
        <v>44201</v>
      </c>
      <c r="B4">
        <v>2021</v>
      </c>
      <c r="C4" t="s">
        <v>15</v>
      </c>
      <c r="D4" t="s">
        <v>16</v>
      </c>
      <c r="E4" t="s">
        <v>17</v>
      </c>
      <c r="F4" t="s">
        <v>65</v>
      </c>
      <c r="G4">
        <v>-900</v>
      </c>
      <c r="H4" t="s">
        <v>72</v>
      </c>
      <c r="I4">
        <v>0</v>
      </c>
      <c r="J4">
        <v>900</v>
      </c>
      <c r="K4">
        <v>-900</v>
      </c>
      <c r="L4" t="s">
        <v>94</v>
      </c>
    </row>
    <row r="5" spans="1:12" x14ac:dyDescent="0.25">
      <c r="A5" s="21">
        <v>44201</v>
      </c>
      <c r="B5">
        <v>2021</v>
      </c>
      <c r="C5" t="s">
        <v>18</v>
      </c>
      <c r="D5" t="s">
        <v>19</v>
      </c>
      <c r="E5" t="s">
        <v>20</v>
      </c>
      <c r="F5" t="s">
        <v>66</v>
      </c>
      <c r="G5">
        <v>-150</v>
      </c>
      <c r="H5" t="s">
        <v>73</v>
      </c>
      <c r="I5">
        <v>0</v>
      </c>
      <c r="J5">
        <v>150</v>
      </c>
      <c r="K5">
        <v>-150</v>
      </c>
      <c r="L5" t="s">
        <v>94</v>
      </c>
    </row>
    <row r="6" spans="1:12" x14ac:dyDescent="0.25">
      <c r="A6" s="21">
        <v>44201</v>
      </c>
      <c r="B6">
        <v>2021</v>
      </c>
      <c r="C6" t="s">
        <v>11</v>
      </c>
      <c r="D6" t="s">
        <v>12</v>
      </c>
      <c r="E6" t="s">
        <v>13</v>
      </c>
      <c r="F6" t="s">
        <v>64</v>
      </c>
      <c r="G6">
        <v>-5</v>
      </c>
      <c r="H6" t="s">
        <v>71</v>
      </c>
      <c r="I6">
        <v>0</v>
      </c>
      <c r="J6">
        <v>5</v>
      </c>
      <c r="K6">
        <v>-5</v>
      </c>
      <c r="L6" t="s">
        <v>94</v>
      </c>
    </row>
    <row r="7" spans="1:12" x14ac:dyDescent="0.25">
      <c r="A7" s="21">
        <v>44202</v>
      </c>
      <c r="B7">
        <v>2021</v>
      </c>
      <c r="C7" t="s">
        <v>11</v>
      </c>
      <c r="D7" t="s">
        <v>12</v>
      </c>
      <c r="E7" t="s">
        <v>13</v>
      </c>
      <c r="F7" t="s">
        <v>64</v>
      </c>
      <c r="G7">
        <v>-5</v>
      </c>
      <c r="H7" t="s">
        <v>71</v>
      </c>
      <c r="I7">
        <v>0</v>
      </c>
      <c r="J7">
        <v>5</v>
      </c>
      <c r="K7">
        <v>-5</v>
      </c>
      <c r="L7" t="s">
        <v>94</v>
      </c>
    </row>
    <row r="8" spans="1:12" x14ac:dyDescent="0.25">
      <c r="A8" s="21">
        <v>44203</v>
      </c>
      <c r="B8">
        <v>2021</v>
      </c>
      <c r="C8" t="s">
        <v>11</v>
      </c>
      <c r="D8" t="s">
        <v>12</v>
      </c>
      <c r="E8" t="s">
        <v>13</v>
      </c>
      <c r="F8" t="s">
        <v>64</v>
      </c>
      <c r="G8">
        <v>-5</v>
      </c>
      <c r="H8" t="s">
        <v>71</v>
      </c>
      <c r="I8">
        <v>0</v>
      </c>
      <c r="J8">
        <v>5</v>
      </c>
      <c r="K8">
        <v>-5</v>
      </c>
      <c r="L8" t="s">
        <v>94</v>
      </c>
    </row>
    <row r="9" spans="1:12" x14ac:dyDescent="0.25">
      <c r="A9" s="21">
        <v>44204</v>
      </c>
      <c r="B9">
        <v>2021</v>
      </c>
      <c r="C9" t="s">
        <v>11</v>
      </c>
      <c r="D9" t="s">
        <v>12</v>
      </c>
      <c r="E9" t="s">
        <v>13</v>
      </c>
      <c r="F9" t="s">
        <v>64</v>
      </c>
      <c r="G9">
        <v>-5</v>
      </c>
      <c r="H9" t="s">
        <v>71</v>
      </c>
      <c r="I9">
        <v>0</v>
      </c>
      <c r="J9">
        <v>5</v>
      </c>
      <c r="K9">
        <v>-5</v>
      </c>
      <c r="L9" t="s">
        <v>94</v>
      </c>
    </row>
    <row r="10" spans="1:12" x14ac:dyDescent="0.25">
      <c r="A10" s="21">
        <v>44204</v>
      </c>
      <c r="B10">
        <v>2021</v>
      </c>
      <c r="C10" t="s">
        <v>21</v>
      </c>
      <c r="D10" t="s">
        <v>22</v>
      </c>
      <c r="E10" t="s">
        <v>17</v>
      </c>
      <c r="F10" t="s">
        <v>64</v>
      </c>
      <c r="G10">
        <v>-155</v>
      </c>
      <c r="H10" t="s">
        <v>71</v>
      </c>
      <c r="I10">
        <v>0</v>
      </c>
      <c r="J10">
        <v>155</v>
      </c>
      <c r="K10">
        <v>-155</v>
      </c>
      <c r="L10" t="s">
        <v>94</v>
      </c>
    </row>
    <row r="11" spans="1:12" x14ac:dyDescent="0.25">
      <c r="A11" s="21">
        <v>44207</v>
      </c>
      <c r="B11">
        <v>2021</v>
      </c>
      <c r="C11" t="s">
        <v>23</v>
      </c>
      <c r="D11" t="s">
        <v>24</v>
      </c>
      <c r="E11" t="s">
        <v>17</v>
      </c>
      <c r="F11" t="s">
        <v>64</v>
      </c>
      <c r="G11">
        <v>-50</v>
      </c>
      <c r="H11" t="s">
        <v>71</v>
      </c>
      <c r="I11">
        <v>0</v>
      </c>
      <c r="J11">
        <v>50</v>
      </c>
      <c r="K11">
        <v>-50</v>
      </c>
      <c r="L11" t="s">
        <v>94</v>
      </c>
    </row>
    <row r="12" spans="1:12" x14ac:dyDescent="0.25">
      <c r="A12" s="21">
        <v>44207</v>
      </c>
      <c r="B12">
        <v>2021</v>
      </c>
      <c r="C12" t="s">
        <v>11</v>
      </c>
      <c r="D12" t="s">
        <v>12</v>
      </c>
      <c r="E12" t="s">
        <v>13</v>
      </c>
      <c r="F12" t="s">
        <v>64</v>
      </c>
      <c r="G12">
        <v>-5</v>
      </c>
      <c r="H12" t="s">
        <v>71</v>
      </c>
      <c r="I12">
        <v>0</v>
      </c>
      <c r="J12">
        <v>5</v>
      </c>
      <c r="K12">
        <v>-5</v>
      </c>
      <c r="L12" t="s">
        <v>94</v>
      </c>
    </row>
    <row r="13" spans="1:12" x14ac:dyDescent="0.25">
      <c r="A13" s="21">
        <v>44208</v>
      </c>
      <c r="B13">
        <v>2021</v>
      </c>
      <c r="C13" t="s">
        <v>11</v>
      </c>
      <c r="D13" t="s">
        <v>12</v>
      </c>
      <c r="E13" t="s">
        <v>13</v>
      </c>
      <c r="F13" t="s">
        <v>64</v>
      </c>
      <c r="G13">
        <v>-5</v>
      </c>
      <c r="H13" t="s">
        <v>71</v>
      </c>
      <c r="I13">
        <v>0</v>
      </c>
      <c r="J13">
        <v>5</v>
      </c>
      <c r="K13">
        <v>-5</v>
      </c>
      <c r="L13" t="s">
        <v>94</v>
      </c>
    </row>
    <row r="14" spans="1:12" x14ac:dyDescent="0.25">
      <c r="A14" s="21">
        <v>44209</v>
      </c>
      <c r="B14">
        <v>2021</v>
      </c>
      <c r="C14" t="s">
        <v>25</v>
      </c>
      <c r="D14" t="s">
        <v>12</v>
      </c>
      <c r="E14" t="s">
        <v>13</v>
      </c>
      <c r="F14" t="s">
        <v>64</v>
      </c>
      <c r="G14">
        <v>-77</v>
      </c>
      <c r="H14" t="s">
        <v>71</v>
      </c>
      <c r="I14">
        <v>0</v>
      </c>
      <c r="J14">
        <v>77</v>
      </c>
      <c r="K14">
        <v>-77</v>
      </c>
      <c r="L14" t="s">
        <v>94</v>
      </c>
    </row>
    <row r="15" spans="1:12" x14ac:dyDescent="0.25">
      <c r="A15" s="21">
        <v>44209</v>
      </c>
      <c r="B15">
        <v>2021</v>
      </c>
      <c r="C15" t="s">
        <v>11</v>
      </c>
      <c r="D15" t="s">
        <v>12</v>
      </c>
      <c r="E15" t="s">
        <v>13</v>
      </c>
      <c r="F15" t="s">
        <v>64</v>
      </c>
      <c r="G15">
        <v>-5</v>
      </c>
      <c r="H15" t="s">
        <v>71</v>
      </c>
      <c r="I15">
        <v>0</v>
      </c>
      <c r="J15">
        <v>5</v>
      </c>
      <c r="K15">
        <v>-5</v>
      </c>
      <c r="L15" t="s">
        <v>94</v>
      </c>
    </row>
    <row r="16" spans="1:12" x14ac:dyDescent="0.25">
      <c r="A16" s="21">
        <v>44210</v>
      </c>
      <c r="B16">
        <v>2021</v>
      </c>
      <c r="C16" t="s">
        <v>11</v>
      </c>
      <c r="D16" t="s">
        <v>12</v>
      </c>
      <c r="E16" t="s">
        <v>13</v>
      </c>
      <c r="F16" t="s">
        <v>64</v>
      </c>
      <c r="G16">
        <v>-5</v>
      </c>
      <c r="H16" t="s">
        <v>71</v>
      </c>
      <c r="I16">
        <v>0</v>
      </c>
      <c r="J16">
        <v>5</v>
      </c>
      <c r="K16">
        <v>-5</v>
      </c>
      <c r="L16" t="s">
        <v>94</v>
      </c>
    </row>
    <row r="17" spans="1:12" x14ac:dyDescent="0.25">
      <c r="A17" s="21">
        <v>44211</v>
      </c>
      <c r="B17">
        <v>2021</v>
      </c>
      <c r="C17" t="s">
        <v>21</v>
      </c>
      <c r="D17" t="s">
        <v>22</v>
      </c>
      <c r="E17" t="s">
        <v>17</v>
      </c>
      <c r="F17" t="s">
        <v>64</v>
      </c>
      <c r="G17">
        <v>-135</v>
      </c>
      <c r="H17" t="s">
        <v>71</v>
      </c>
      <c r="I17">
        <v>0</v>
      </c>
      <c r="J17">
        <v>135</v>
      </c>
      <c r="K17">
        <v>-135</v>
      </c>
      <c r="L17" t="s">
        <v>94</v>
      </c>
    </row>
    <row r="18" spans="1:12" x14ac:dyDescent="0.25">
      <c r="A18" s="21">
        <v>44211</v>
      </c>
      <c r="B18">
        <v>2021</v>
      </c>
      <c r="C18" t="s">
        <v>11</v>
      </c>
      <c r="D18" t="s">
        <v>12</v>
      </c>
      <c r="E18" t="s">
        <v>13</v>
      </c>
      <c r="F18" t="s">
        <v>64</v>
      </c>
      <c r="G18">
        <v>-5</v>
      </c>
      <c r="H18" t="s">
        <v>71</v>
      </c>
      <c r="I18">
        <v>0</v>
      </c>
      <c r="J18">
        <v>5</v>
      </c>
      <c r="K18">
        <v>-5</v>
      </c>
      <c r="L18" t="s">
        <v>94</v>
      </c>
    </row>
    <row r="19" spans="1:12" x14ac:dyDescent="0.25">
      <c r="A19" s="21">
        <v>44212</v>
      </c>
      <c r="B19">
        <v>2021</v>
      </c>
      <c r="C19" t="s">
        <v>11</v>
      </c>
      <c r="D19" t="s">
        <v>12</v>
      </c>
      <c r="E19" t="s">
        <v>13</v>
      </c>
      <c r="F19" t="s">
        <v>64</v>
      </c>
      <c r="G19">
        <v>-5</v>
      </c>
      <c r="H19" t="s">
        <v>71</v>
      </c>
      <c r="I19">
        <v>0</v>
      </c>
      <c r="J19">
        <v>5</v>
      </c>
      <c r="K19">
        <v>-5</v>
      </c>
      <c r="L19" t="s">
        <v>94</v>
      </c>
    </row>
    <row r="20" spans="1:12" x14ac:dyDescent="0.25">
      <c r="A20" s="21">
        <v>44212</v>
      </c>
      <c r="B20">
        <v>2021</v>
      </c>
      <c r="C20" t="s">
        <v>26</v>
      </c>
      <c r="D20" t="s">
        <v>27</v>
      </c>
      <c r="E20" t="s">
        <v>28</v>
      </c>
      <c r="F20" t="s">
        <v>27</v>
      </c>
      <c r="G20">
        <v>-40</v>
      </c>
      <c r="H20" t="s">
        <v>74</v>
      </c>
      <c r="I20">
        <v>0</v>
      </c>
      <c r="J20">
        <v>40</v>
      </c>
      <c r="K20">
        <v>-40</v>
      </c>
      <c r="L20" t="s">
        <v>94</v>
      </c>
    </row>
    <row r="21" spans="1:12" x14ac:dyDescent="0.25">
      <c r="A21" s="21">
        <v>44212</v>
      </c>
      <c r="B21">
        <v>2021</v>
      </c>
      <c r="C21" t="s">
        <v>29</v>
      </c>
      <c r="D21" t="s">
        <v>30</v>
      </c>
      <c r="E21" t="s">
        <v>28</v>
      </c>
      <c r="F21" t="s">
        <v>67</v>
      </c>
      <c r="G21">
        <v>-98</v>
      </c>
      <c r="H21" t="s">
        <v>71</v>
      </c>
      <c r="I21">
        <v>0</v>
      </c>
      <c r="J21">
        <v>98</v>
      </c>
      <c r="K21">
        <v>-98</v>
      </c>
      <c r="L21" t="s">
        <v>94</v>
      </c>
    </row>
    <row r="22" spans="1:12" x14ac:dyDescent="0.25">
      <c r="A22" s="21">
        <v>44212</v>
      </c>
      <c r="B22">
        <v>2021</v>
      </c>
      <c r="C22" t="s">
        <v>31</v>
      </c>
      <c r="D22" t="s">
        <v>32</v>
      </c>
      <c r="E22" t="s">
        <v>13</v>
      </c>
      <c r="F22" t="s">
        <v>64</v>
      </c>
      <c r="G22">
        <v>-52</v>
      </c>
      <c r="H22" t="s">
        <v>71</v>
      </c>
      <c r="I22">
        <v>0</v>
      </c>
      <c r="J22">
        <v>52</v>
      </c>
      <c r="K22">
        <v>-52</v>
      </c>
      <c r="L22" t="s">
        <v>94</v>
      </c>
    </row>
    <row r="23" spans="1:12" x14ac:dyDescent="0.25">
      <c r="A23" s="21">
        <v>44213</v>
      </c>
      <c r="B23">
        <v>2021</v>
      </c>
      <c r="C23" t="s">
        <v>33</v>
      </c>
      <c r="D23" t="s">
        <v>34</v>
      </c>
      <c r="E23" t="s">
        <v>20</v>
      </c>
      <c r="F23" t="s">
        <v>68</v>
      </c>
      <c r="G23">
        <v>-28</v>
      </c>
      <c r="H23" t="s">
        <v>74</v>
      </c>
      <c r="I23">
        <v>0</v>
      </c>
      <c r="J23">
        <v>28</v>
      </c>
      <c r="K23">
        <v>-28</v>
      </c>
      <c r="L23" t="s">
        <v>94</v>
      </c>
    </row>
    <row r="24" spans="1:12" x14ac:dyDescent="0.25">
      <c r="A24" s="21">
        <v>44214</v>
      </c>
      <c r="B24">
        <v>2021</v>
      </c>
      <c r="C24" t="s">
        <v>35</v>
      </c>
      <c r="D24" t="s">
        <v>36</v>
      </c>
      <c r="E24" t="s">
        <v>37</v>
      </c>
      <c r="F24" t="s">
        <v>37</v>
      </c>
      <c r="G24">
        <v>4500</v>
      </c>
      <c r="H24" t="s">
        <v>70</v>
      </c>
      <c r="I24">
        <v>4500</v>
      </c>
      <c r="J24">
        <v>0</v>
      </c>
      <c r="K24">
        <v>4500</v>
      </c>
      <c r="L24" t="s">
        <v>93</v>
      </c>
    </row>
    <row r="25" spans="1:12" x14ac:dyDescent="0.25">
      <c r="A25" s="21">
        <v>44214</v>
      </c>
      <c r="B25">
        <v>2021</v>
      </c>
      <c r="C25" t="s">
        <v>11</v>
      </c>
      <c r="D25" t="s">
        <v>12</v>
      </c>
      <c r="E25" t="s">
        <v>13</v>
      </c>
      <c r="F25" t="s">
        <v>64</v>
      </c>
      <c r="G25">
        <v>-5</v>
      </c>
      <c r="H25" t="s">
        <v>71</v>
      </c>
      <c r="I25">
        <v>0</v>
      </c>
      <c r="J25">
        <v>5</v>
      </c>
      <c r="K25">
        <v>-5</v>
      </c>
      <c r="L25" t="s">
        <v>94</v>
      </c>
    </row>
    <row r="26" spans="1:12" x14ac:dyDescent="0.25">
      <c r="A26" s="21">
        <v>44215</v>
      </c>
      <c r="B26">
        <v>2021</v>
      </c>
      <c r="C26" t="s">
        <v>11</v>
      </c>
      <c r="D26" t="s">
        <v>12</v>
      </c>
      <c r="E26" t="s">
        <v>13</v>
      </c>
      <c r="F26" t="s">
        <v>64</v>
      </c>
      <c r="G26">
        <v>-5</v>
      </c>
      <c r="H26" t="s">
        <v>71</v>
      </c>
      <c r="I26">
        <v>0</v>
      </c>
      <c r="J26">
        <v>5</v>
      </c>
      <c r="K26">
        <v>-5</v>
      </c>
      <c r="L26" t="s">
        <v>94</v>
      </c>
    </row>
    <row r="27" spans="1:12" x14ac:dyDescent="0.25">
      <c r="A27" s="21">
        <v>44215</v>
      </c>
      <c r="B27">
        <v>2021</v>
      </c>
      <c r="C27" t="s">
        <v>35</v>
      </c>
      <c r="D27" t="s">
        <v>38</v>
      </c>
      <c r="E27" t="s">
        <v>37</v>
      </c>
      <c r="F27" t="s">
        <v>37</v>
      </c>
      <c r="G27">
        <v>4500</v>
      </c>
      <c r="H27" t="s">
        <v>70</v>
      </c>
      <c r="I27">
        <v>4500</v>
      </c>
      <c r="J27">
        <v>0</v>
      </c>
      <c r="K27">
        <v>4500</v>
      </c>
      <c r="L27" t="s">
        <v>93</v>
      </c>
    </row>
    <row r="28" spans="1:12" x14ac:dyDescent="0.25">
      <c r="A28" s="21">
        <v>44215</v>
      </c>
      <c r="B28">
        <v>2021</v>
      </c>
      <c r="C28" t="s">
        <v>39</v>
      </c>
      <c r="D28" t="s">
        <v>39</v>
      </c>
      <c r="E28" t="s">
        <v>17</v>
      </c>
      <c r="F28" t="s">
        <v>69</v>
      </c>
      <c r="G28">
        <v>-40</v>
      </c>
      <c r="H28" t="s">
        <v>72</v>
      </c>
      <c r="I28">
        <v>0</v>
      </c>
      <c r="J28">
        <v>40</v>
      </c>
      <c r="K28">
        <v>-40</v>
      </c>
      <c r="L28" t="s">
        <v>94</v>
      </c>
    </row>
    <row r="29" spans="1:12" x14ac:dyDescent="0.25">
      <c r="A29" s="21">
        <v>44216</v>
      </c>
      <c r="B29">
        <v>2021</v>
      </c>
      <c r="C29" t="s">
        <v>40</v>
      </c>
      <c r="D29" t="s">
        <v>41</v>
      </c>
      <c r="E29" t="s">
        <v>28</v>
      </c>
      <c r="F29" t="s">
        <v>67</v>
      </c>
      <c r="G29">
        <v>-45</v>
      </c>
      <c r="H29" t="s">
        <v>71</v>
      </c>
      <c r="I29">
        <v>0</v>
      </c>
      <c r="J29">
        <v>45</v>
      </c>
      <c r="K29">
        <v>-45</v>
      </c>
      <c r="L29" t="s">
        <v>94</v>
      </c>
    </row>
    <row r="30" spans="1:12" x14ac:dyDescent="0.25">
      <c r="A30" s="21">
        <v>44216</v>
      </c>
      <c r="B30">
        <v>2021</v>
      </c>
      <c r="C30" t="s">
        <v>42</v>
      </c>
      <c r="D30" t="s">
        <v>27</v>
      </c>
      <c r="E30" t="s">
        <v>28</v>
      </c>
      <c r="F30" t="s">
        <v>27</v>
      </c>
      <c r="G30">
        <v>-32</v>
      </c>
      <c r="H30" t="s">
        <v>74</v>
      </c>
      <c r="I30">
        <v>0</v>
      </c>
      <c r="J30">
        <v>32</v>
      </c>
      <c r="K30">
        <v>-32</v>
      </c>
      <c r="L30" t="s">
        <v>94</v>
      </c>
    </row>
    <row r="31" spans="1:12" x14ac:dyDescent="0.25">
      <c r="A31" s="21">
        <v>44216</v>
      </c>
      <c r="B31">
        <v>2021</v>
      </c>
      <c r="C31" t="s">
        <v>11</v>
      </c>
      <c r="D31" t="s">
        <v>12</v>
      </c>
      <c r="E31" t="s">
        <v>13</v>
      </c>
      <c r="F31" t="s">
        <v>64</v>
      </c>
      <c r="G31">
        <v>-5</v>
      </c>
      <c r="H31" t="s">
        <v>71</v>
      </c>
      <c r="I31">
        <v>0</v>
      </c>
      <c r="J31">
        <v>5</v>
      </c>
      <c r="K31">
        <v>-5</v>
      </c>
      <c r="L31" t="s">
        <v>94</v>
      </c>
    </row>
    <row r="32" spans="1:12" x14ac:dyDescent="0.25">
      <c r="A32" s="21">
        <v>44217</v>
      </c>
      <c r="B32">
        <v>2021</v>
      </c>
      <c r="C32" t="s">
        <v>11</v>
      </c>
      <c r="D32" t="s">
        <v>12</v>
      </c>
      <c r="E32" t="s">
        <v>13</v>
      </c>
      <c r="F32" t="s">
        <v>64</v>
      </c>
      <c r="G32">
        <v>-5</v>
      </c>
      <c r="H32" t="s">
        <v>71</v>
      </c>
      <c r="I32">
        <v>0</v>
      </c>
      <c r="J32">
        <v>5</v>
      </c>
      <c r="K32">
        <v>-5</v>
      </c>
      <c r="L32" t="s">
        <v>94</v>
      </c>
    </row>
    <row r="33" spans="1:12" x14ac:dyDescent="0.25">
      <c r="A33" s="21">
        <v>44218</v>
      </c>
      <c r="B33">
        <v>2021</v>
      </c>
      <c r="C33" t="s">
        <v>11</v>
      </c>
      <c r="D33" t="s">
        <v>12</v>
      </c>
      <c r="E33" t="s">
        <v>13</v>
      </c>
      <c r="F33" t="s">
        <v>64</v>
      </c>
      <c r="G33">
        <v>-5</v>
      </c>
      <c r="H33" t="s">
        <v>71</v>
      </c>
      <c r="I33">
        <v>0</v>
      </c>
      <c r="J33">
        <v>5</v>
      </c>
      <c r="K33">
        <v>-5</v>
      </c>
      <c r="L33" t="s">
        <v>94</v>
      </c>
    </row>
    <row r="34" spans="1:12" x14ac:dyDescent="0.25">
      <c r="A34" s="21">
        <v>44218</v>
      </c>
      <c r="B34">
        <v>2021</v>
      </c>
      <c r="C34" t="s">
        <v>21</v>
      </c>
      <c r="D34" t="s">
        <v>22</v>
      </c>
      <c r="E34" t="s">
        <v>17</v>
      </c>
      <c r="F34" t="s">
        <v>64</v>
      </c>
      <c r="G34">
        <v>-170</v>
      </c>
      <c r="H34" t="s">
        <v>71</v>
      </c>
      <c r="I34">
        <v>0</v>
      </c>
      <c r="J34">
        <v>170</v>
      </c>
      <c r="K34">
        <v>-170</v>
      </c>
      <c r="L34" t="s">
        <v>94</v>
      </c>
    </row>
    <row r="35" spans="1:12" x14ac:dyDescent="0.25">
      <c r="A35" s="21">
        <v>44219</v>
      </c>
      <c r="B35">
        <v>2021</v>
      </c>
      <c r="C35" t="s">
        <v>43</v>
      </c>
      <c r="D35" t="s">
        <v>32</v>
      </c>
      <c r="E35" t="s">
        <v>13</v>
      </c>
      <c r="F35" t="s">
        <v>64</v>
      </c>
      <c r="G35">
        <v>-37</v>
      </c>
      <c r="H35" t="s">
        <v>71</v>
      </c>
      <c r="I35">
        <v>0</v>
      </c>
      <c r="J35">
        <v>37</v>
      </c>
      <c r="K35">
        <v>-37</v>
      </c>
      <c r="L35" t="s">
        <v>94</v>
      </c>
    </row>
    <row r="36" spans="1:12" x14ac:dyDescent="0.25">
      <c r="A36" s="21">
        <v>44220</v>
      </c>
      <c r="B36">
        <v>2021</v>
      </c>
      <c r="C36" t="s">
        <v>44</v>
      </c>
      <c r="D36" t="s">
        <v>32</v>
      </c>
      <c r="E36" t="s">
        <v>13</v>
      </c>
      <c r="F36" t="s">
        <v>64</v>
      </c>
      <c r="G36">
        <v>-12</v>
      </c>
      <c r="H36" t="s">
        <v>71</v>
      </c>
      <c r="I36">
        <v>0</v>
      </c>
      <c r="J36">
        <v>12</v>
      </c>
      <c r="K36">
        <v>-12</v>
      </c>
      <c r="L36" t="s">
        <v>94</v>
      </c>
    </row>
    <row r="37" spans="1:12" x14ac:dyDescent="0.25">
      <c r="A37" s="21">
        <v>44221</v>
      </c>
      <c r="B37">
        <v>2021</v>
      </c>
      <c r="C37" t="s">
        <v>45</v>
      </c>
      <c r="D37" t="s">
        <v>46</v>
      </c>
      <c r="E37" t="s">
        <v>47</v>
      </c>
      <c r="F37" t="s">
        <v>67</v>
      </c>
      <c r="G37">
        <v>-55</v>
      </c>
      <c r="H37" t="s">
        <v>71</v>
      </c>
      <c r="I37">
        <v>0</v>
      </c>
      <c r="J37">
        <v>55</v>
      </c>
      <c r="K37">
        <v>-55</v>
      </c>
      <c r="L37" t="s">
        <v>94</v>
      </c>
    </row>
    <row r="38" spans="1:12" x14ac:dyDescent="0.25">
      <c r="A38" s="21">
        <v>44221</v>
      </c>
      <c r="B38">
        <v>2021</v>
      </c>
      <c r="C38" t="s">
        <v>25</v>
      </c>
      <c r="D38" t="s">
        <v>48</v>
      </c>
      <c r="E38" t="s">
        <v>20</v>
      </c>
      <c r="F38" t="s">
        <v>68</v>
      </c>
      <c r="G38">
        <v>-63</v>
      </c>
      <c r="H38" t="s">
        <v>74</v>
      </c>
      <c r="I38">
        <v>0</v>
      </c>
      <c r="J38">
        <v>63</v>
      </c>
      <c r="K38">
        <v>-63</v>
      </c>
      <c r="L38" t="s">
        <v>94</v>
      </c>
    </row>
    <row r="39" spans="1:12" x14ac:dyDescent="0.25">
      <c r="A39" s="21">
        <v>44221</v>
      </c>
      <c r="B39">
        <v>2021</v>
      </c>
      <c r="C39" t="s">
        <v>11</v>
      </c>
      <c r="D39" t="s">
        <v>12</v>
      </c>
      <c r="E39" t="s">
        <v>13</v>
      </c>
      <c r="F39" t="s">
        <v>64</v>
      </c>
      <c r="G39">
        <v>-5</v>
      </c>
      <c r="H39" t="s">
        <v>71</v>
      </c>
      <c r="I39">
        <v>0</v>
      </c>
      <c r="J39">
        <v>5</v>
      </c>
      <c r="K39">
        <v>-5</v>
      </c>
      <c r="L39" t="s">
        <v>94</v>
      </c>
    </row>
    <row r="40" spans="1:12" x14ac:dyDescent="0.25">
      <c r="A40" s="21">
        <v>44222</v>
      </c>
      <c r="B40">
        <v>2021</v>
      </c>
      <c r="C40" t="s">
        <v>11</v>
      </c>
      <c r="D40" t="s">
        <v>12</v>
      </c>
      <c r="E40" t="s">
        <v>13</v>
      </c>
      <c r="F40" t="s">
        <v>64</v>
      </c>
      <c r="G40">
        <v>-5</v>
      </c>
      <c r="H40" t="s">
        <v>71</v>
      </c>
      <c r="I40">
        <v>0</v>
      </c>
      <c r="J40">
        <v>5</v>
      </c>
      <c r="K40">
        <v>-5</v>
      </c>
      <c r="L40" t="s">
        <v>94</v>
      </c>
    </row>
    <row r="41" spans="1:12" x14ac:dyDescent="0.25">
      <c r="A41" s="21">
        <v>44223</v>
      </c>
      <c r="B41">
        <v>2021</v>
      </c>
      <c r="C41" t="s">
        <v>11</v>
      </c>
      <c r="D41" t="s">
        <v>12</v>
      </c>
      <c r="E41" t="s">
        <v>13</v>
      </c>
      <c r="F41" t="s">
        <v>64</v>
      </c>
      <c r="G41">
        <v>-5</v>
      </c>
      <c r="H41" t="s">
        <v>71</v>
      </c>
      <c r="I41">
        <v>0</v>
      </c>
      <c r="J41">
        <v>5</v>
      </c>
      <c r="K41">
        <v>-5</v>
      </c>
      <c r="L41" t="s">
        <v>94</v>
      </c>
    </row>
    <row r="42" spans="1:12" x14ac:dyDescent="0.25">
      <c r="A42" s="21">
        <v>44224</v>
      </c>
      <c r="B42">
        <v>2021</v>
      </c>
      <c r="C42" t="s">
        <v>11</v>
      </c>
      <c r="D42" t="s">
        <v>12</v>
      </c>
      <c r="E42" t="s">
        <v>13</v>
      </c>
      <c r="F42" t="s">
        <v>64</v>
      </c>
      <c r="G42">
        <v>-5</v>
      </c>
      <c r="H42" t="s">
        <v>71</v>
      </c>
      <c r="I42">
        <v>0</v>
      </c>
      <c r="J42">
        <v>5</v>
      </c>
      <c r="K42">
        <v>-5</v>
      </c>
      <c r="L42" t="s">
        <v>94</v>
      </c>
    </row>
    <row r="43" spans="1:12" x14ac:dyDescent="0.25">
      <c r="A43" s="21">
        <v>44225</v>
      </c>
      <c r="B43">
        <v>2021</v>
      </c>
      <c r="C43" t="s">
        <v>11</v>
      </c>
      <c r="D43" t="s">
        <v>12</v>
      </c>
      <c r="E43" t="s">
        <v>13</v>
      </c>
      <c r="F43" t="s">
        <v>64</v>
      </c>
      <c r="G43">
        <v>-5</v>
      </c>
      <c r="H43" t="s">
        <v>71</v>
      </c>
      <c r="I43">
        <v>0</v>
      </c>
      <c r="J43">
        <v>5</v>
      </c>
      <c r="K43">
        <v>-5</v>
      </c>
      <c r="L43" t="s">
        <v>94</v>
      </c>
    </row>
    <row r="44" spans="1:12" x14ac:dyDescent="0.25">
      <c r="A44" s="21">
        <v>44225</v>
      </c>
      <c r="B44">
        <v>2021</v>
      </c>
      <c r="C44" t="s">
        <v>21</v>
      </c>
      <c r="D44" t="s">
        <v>22</v>
      </c>
      <c r="E44" t="s">
        <v>17</v>
      </c>
      <c r="F44" t="s">
        <v>64</v>
      </c>
      <c r="G44">
        <v>-162</v>
      </c>
      <c r="H44" t="s">
        <v>71</v>
      </c>
      <c r="I44">
        <v>0</v>
      </c>
      <c r="J44">
        <v>162</v>
      </c>
      <c r="K44">
        <v>-162</v>
      </c>
      <c r="L44" t="s">
        <v>94</v>
      </c>
    </row>
    <row r="45" spans="1:12" x14ac:dyDescent="0.25">
      <c r="A45" s="21">
        <v>44226</v>
      </c>
      <c r="B45">
        <v>2021</v>
      </c>
      <c r="C45" t="s">
        <v>49</v>
      </c>
      <c r="D45" t="s">
        <v>30</v>
      </c>
      <c r="E45" t="s">
        <v>28</v>
      </c>
      <c r="F45" t="s">
        <v>67</v>
      </c>
      <c r="G45">
        <v>-125</v>
      </c>
      <c r="H45" t="s">
        <v>71</v>
      </c>
      <c r="I45">
        <v>0</v>
      </c>
      <c r="J45">
        <v>125</v>
      </c>
      <c r="K45">
        <v>-125</v>
      </c>
      <c r="L45" t="s">
        <v>94</v>
      </c>
    </row>
    <row r="46" spans="1:12" x14ac:dyDescent="0.25">
      <c r="A46" s="21">
        <v>44226</v>
      </c>
      <c r="B46">
        <v>2021</v>
      </c>
      <c r="C46" t="s">
        <v>50</v>
      </c>
      <c r="D46" t="s">
        <v>27</v>
      </c>
      <c r="E46" t="s">
        <v>28</v>
      </c>
      <c r="F46" t="s">
        <v>27</v>
      </c>
      <c r="G46">
        <v>-175</v>
      </c>
      <c r="H46" t="s">
        <v>74</v>
      </c>
      <c r="I46">
        <v>0</v>
      </c>
      <c r="J46">
        <v>175</v>
      </c>
      <c r="K46">
        <v>-175</v>
      </c>
      <c r="L46" t="s">
        <v>94</v>
      </c>
    </row>
    <row r="47" spans="1:12" x14ac:dyDescent="0.25">
      <c r="A47" s="21">
        <v>44227</v>
      </c>
      <c r="B47">
        <v>2021</v>
      </c>
      <c r="C47" t="s">
        <v>29</v>
      </c>
      <c r="D47" t="s">
        <v>30</v>
      </c>
      <c r="E47" t="s">
        <v>28</v>
      </c>
      <c r="F47" t="s">
        <v>67</v>
      </c>
      <c r="G47">
        <v>-145</v>
      </c>
      <c r="H47" t="s">
        <v>71</v>
      </c>
      <c r="I47">
        <v>0</v>
      </c>
      <c r="J47">
        <v>145</v>
      </c>
      <c r="K47">
        <v>-145</v>
      </c>
      <c r="L47" t="s">
        <v>94</v>
      </c>
    </row>
    <row r="48" spans="1:12" x14ac:dyDescent="0.25">
      <c r="A48" s="21">
        <v>44227</v>
      </c>
      <c r="B48">
        <v>2021</v>
      </c>
      <c r="C48" t="s">
        <v>33</v>
      </c>
      <c r="D48" t="s">
        <v>34</v>
      </c>
      <c r="E48" t="s">
        <v>20</v>
      </c>
      <c r="F48" t="s">
        <v>68</v>
      </c>
      <c r="G48">
        <v>-23</v>
      </c>
      <c r="H48" t="s">
        <v>74</v>
      </c>
      <c r="I48">
        <v>0</v>
      </c>
      <c r="J48">
        <v>23</v>
      </c>
      <c r="K48">
        <v>-23</v>
      </c>
      <c r="L48" t="s">
        <v>94</v>
      </c>
    </row>
    <row r="49" spans="1:12" x14ac:dyDescent="0.25">
      <c r="A49" s="21">
        <v>44228</v>
      </c>
      <c r="B49">
        <v>2021</v>
      </c>
      <c r="C49" t="s">
        <v>7</v>
      </c>
      <c r="D49" t="s">
        <v>8</v>
      </c>
      <c r="E49" t="s">
        <v>9</v>
      </c>
      <c r="F49" t="s">
        <v>9</v>
      </c>
      <c r="G49">
        <v>5000</v>
      </c>
      <c r="H49" t="s">
        <v>70</v>
      </c>
      <c r="I49">
        <v>5000</v>
      </c>
      <c r="J49">
        <v>0</v>
      </c>
      <c r="K49">
        <v>5000</v>
      </c>
      <c r="L49" t="s">
        <v>93</v>
      </c>
    </row>
    <row r="50" spans="1:12" x14ac:dyDescent="0.25">
      <c r="A50" s="21">
        <v>44228</v>
      </c>
      <c r="B50">
        <v>2021</v>
      </c>
      <c r="C50" t="s">
        <v>11</v>
      </c>
      <c r="D50" t="s">
        <v>12</v>
      </c>
      <c r="E50" t="s">
        <v>13</v>
      </c>
      <c r="F50" t="s">
        <v>64</v>
      </c>
      <c r="G50">
        <v>-5</v>
      </c>
      <c r="H50" t="s">
        <v>71</v>
      </c>
      <c r="I50">
        <v>0</v>
      </c>
      <c r="J50">
        <v>5</v>
      </c>
      <c r="K50">
        <v>-5</v>
      </c>
      <c r="L50" t="s">
        <v>94</v>
      </c>
    </row>
    <row r="51" spans="1:12" x14ac:dyDescent="0.25">
      <c r="A51" s="21">
        <v>44229</v>
      </c>
      <c r="B51">
        <v>2021</v>
      </c>
      <c r="C51" t="s">
        <v>15</v>
      </c>
      <c r="D51" t="s">
        <v>16</v>
      </c>
      <c r="E51" t="s">
        <v>17</v>
      </c>
      <c r="F51" t="s">
        <v>65</v>
      </c>
      <c r="G51">
        <v>-900</v>
      </c>
      <c r="H51" t="s">
        <v>72</v>
      </c>
      <c r="I51">
        <v>0</v>
      </c>
      <c r="J51">
        <v>900</v>
      </c>
      <c r="K51">
        <v>-900</v>
      </c>
      <c r="L51" t="s">
        <v>94</v>
      </c>
    </row>
    <row r="52" spans="1:12" x14ac:dyDescent="0.25">
      <c r="A52" s="21">
        <v>44229</v>
      </c>
      <c r="B52">
        <v>2021</v>
      </c>
      <c r="C52" t="s">
        <v>18</v>
      </c>
      <c r="D52" t="s">
        <v>19</v>
      </c>
      <c r="E52" t="s">
        <v>20</v>
      </c>
      <c r="F52" t="s">
        <v>66</v>
      </c>
      <c r="G52">
        <v>-150</v>
      </c>
      <c r="H52" t="s">
        <v>73</v>
      </c>
      <c r="I52">
        <v>0</v>
      </c>
      <c r="J52">
        <v>150</v>
      </c>
      <c r="K52">
        <v>-150</v>
      </c>
      <c r="L52" t="s">
        <v>94</v>
      </c>
    </row>
    <row r="53" spans="1:12" x14ac:dyDescent="0.25">
      <c r="A53" s="21">
        <v>44229</v>
      </c>
      <c r="B53">
        <v>2021</v>
      </c>
      <c r="C53" t="s">
        <v>11</v>
      </c>
      <c r="D53" t="s">
        <v>12</v>
      </c>
      <c r="E53" t="s">
        <v>13</v>
      </c>
      <c r="F53" t="s">
        <v>64</v>
      </c>
      <c r="G53">
        <v>-5</v>
      </c>
      <c r="H53" t="s">
        <v>71</v>
      </c>
      <c r="I53">
        <v>0</v>
      </c>
      <c r="J53">
        <v>5</v>
      </c>
      <c r="K53">
        <v>-5</v>
      </c>
      <c r="L53" t="s">
        <v>94</v>
      </c>
    </row>
    <row r="54" spans="1:12" x14ac:dyDescent="0.25">
      <c r="A54" s="21">
        <v>44230</v>
      </c>
      <c r="B54">
        <v>2021</v>
      </c>
      <c r="C54" t="s">
        <v>11</v>
      </c>
      <c r="D54" t="s">
        <v>12</v>
      </c>
      <c r="E54" t="s">
        <v>13</v>
      </c>
      <c r="F54" t="s">
        <v>64</v>
      </c>
      <c r="G54">
        <v>-5</v>
      </c>
      <c r="H54" t="s">
        <v>71</v>
      </c>
      <c r="I54">
        <v>0</v>
      </c>
      <c r="J54">
        <v>5</v>
      </c>
      <c r="K54">
        <v>-5</v>
      </c>
      <c r="L54" t="s">
        <v>94</v>
      </c>
    </row>
    <row r="55" spans="1:12" x14ac:dyDescent="0.25">
      <c r="A55" s="21">
        <v>44231</v>
      </c>
      <c r="B55">
        <v>2021</v>
      </c>
      <c r="C55" t="s">
        <v>11</v>
      </c>
      <c r="D55" t="s">
        <v>12</v>
      </c>
      <c r="E55" t="s">
        <v>13</v>
      </c>
      <c r="F55" t="s">
        <v>64</v>
      </c>
      <c r="G55">
        <v>-5</v>
      </c>
      <c r="H55" t="s">
        <v>71</v>
      </c>
      <c r="I55">
        <v>0</v>
      </c>
      <c r="J55">
        <v>5</v>
      </c>
      <c r="K55">
        <v>-5</v>
      </c>
      <c r="L55" t="s">
        <v>94</v>
      </c>
    </row>
    <row r="56" spans="1:12" x14ac:dyDescent="0.25">
      <c r="A56" s="21">
        <v>44232</v>
      </c>
      <c r="B56">
        <v>2021</v>
      </c>
      <c r="C56" t="s">
        <v>11</v>
      </c>
      <c r="D56" t="s">
        <v>12</v>
      </c>
      <c r="E56" t="s">
        <v>13</v>
      </c>
      <c r="F56" t="s">
        <v>64</v>
      </c>
      <c r="G56">
        <v>-5</v>
      </c>
      <c r="H56" t="s">
        <v>71</v>
      </c>
      <c r="I56">
        <v>0</v>
      </c>
      <c r="J56">
        <v>5</v>
      </c>
      <c r="K56">
        <v>-5</v>
      </c>
      <c r="L56" t="s">
        <v>94</v>
      </c>
    </row>
    <row r="57" spans="1:12" x14ac:dyDescent="0.25">
      <c r="A57" s="21">
        <v>44232</v>
      </c>
      <c r="B57">
        <v>2021</v>
      </c>
      <c r="C57" t="s">
        <v>21</v>
      </c>
      <c r="D57" t="s">
        <v>22</v>
      </c>
      <c r="E57" t="s">
        <v>17</v>
      </c>
      <c r="F57" t="s">
        <v>64</v>
      </c>
      <c r="G57">
        <v>-205</v>
      </c>
      <c r="H57" t="s">
        <v>71</v>
      </c>
      <c r="I57">
        <v>0</v>
      </c>
      <c r="J57">
        <v>205</v>
      </c>
      <c r="K57">
        <v>-205</v>
      </c>
      <c r="L57" t="s">
        <v>94</v>
      </c>
    </row>
    <row r="58" spans="1:12" x14ac:dyDescent="0.25">
      <c r="A58" s="21">
        <v>44235</v>
      </c>
      <c r="B58">
        <v>2021</v>
      </c>
      <c r="C58" t="s">
        <v>23</v>
      </c>
      <c r="D58" t="s">
        <v>24</v>
      </c>
      <c r="E58" t="s">
        <v>17</v>
      </c>
      <c r="F58" t="s">
        <v>64</v>
      </c>
      <c r="G58">
        <v>-51.1</v>
      </c>
      <c r="H58" t="s">
        <v>71</v>
      </c>
      <c r="I58">
        <v>0</v>
      </c>
      <c r="J58">
        <v>51.1</v>
      </c>
      <c r="K58">
        <v>-51.1</v>
      </c>
      <c r="L58" t="s">
        <v>94</v>
      </c>
    </row>
    <row r="59" spans="1:12" x14ac:dyDescent="0.25">
      <c r="A59" s="21">
        <v>44235</v>
      </c>
      <c r="B59">
        <v>2021</v>
      </c>
      <c r="C59" t="s">
        <v>11</v>
      </c>
      <c r="D59" t="s">
        <v>12</v>
      </c>
      <c r="E59" t="s">
        <v>13</v>
      </c>
      <c r="F59" t="s">
        <v>64</v>
      </c>
      <c r="G59">
        <v>-5</v>
      </c>
      <c r="H59" t="s">
        <v>71</v>
      </c>
      <c r="I59">
        <v>0</v>
      </c>
      <c r="J59">
        <v>5</v>
      </c>
      <c r="K59">
        <v>-5</v>
      </c>
      <c r="L59" t="s">
        <v>94</v>
      </c>
    </row>
    <row r="60" spans="1:12" x14ac:dyDescent="0.25">
      <c r="A60" s="21">
        <v>44236</v>
      </c>
      <c r="B60">
        <v>2021</v>
      </c>
      <c r="C60" t="s">
        <v>11</v>
      </c>
      <c r="D60" t="s">
        <v>12</v>
      </c>
      <c r="E60" t="s">
        <v>13</v>
      </c>
      <c r="F60" t="s">
        <v>64</v>
      </c>
      <c r="G60">
        <v>-5</v>
      </c>
      <c r="H60" t="s">
        <v>71</v>
      </c>
      <c r="I60">
        <v>0</v>
      </c>
      <c r="J60">
        <v>5</v>
      </c>
      <c r="K60">
        <v>-5</v>
      </c>
      <c r="L60" t="s">
        <v>94</v>
      </c>
    </row>
    <row r="61" spans="1:12" x14ac:dyDescent="0.25">
      <c r="A61" s="21">
        <v>44237</v>
      </c>
      <c r="B61">
        <v>2021</v>
      </c>
      <c r="C61" t="s">
        <v>25</v>
      </c>
      <c r="D61" t="s">
        <v>48</v>
      </c>
      <c r="E61" t="s">
        <v>20</v>
      </c>
      <c r="F61" t="s">
        <v>68</v>
      </c>
      <c r="G61">
        <v>-78</v>
      </c>
      <c r="H61" t="s">
        <v>74</v>
      </c>
      <c r="I61">
        <v>0</v>
      </c>
      <c r="J61">
        <v>78</v>
      </c>
      <c r="K61">
        <v>-78</v>
      </c>
      <c r="L61" t="s">
        <v>94</v>
      </c>
    </row>
    <row r="62" spans="1:12" x14ac:dyDescent="0.25">
      <c r="A62" s="21">
        <v>44237</v>
      </c>
      <c r="B62">
        <v>2021</v>
      </c>
      <c r="C62" t="s">
        <v>11</v>
      </c>
      <c r="D62" t="s">
        <v>12</v>
      </c>
      <c r="E62" t="s">
        <v>13</v>
      </c>
      <c r="F62" t="s">
        <v>64</v>
      </c>
      <c r="G62">
        <v>-5</v>
      </c>
      <c r="H62" t="s">
        <v>71</v>
      </c>
      <c r="I62">
        <v>0</v>
      </c>
      <c r="J62">
        <v>5</v>
      </c>
      <c r="K62">
        <v>-5</v>
      </c>
      <c r="L62" t="s">
        <v>94</v>
      </c>
    </row>
    <row r="63" spans="1:12" x14ac:dyDescent="0.25">
      <c r="A63" s="21">
        <v>44238</v>
      </c>
      <c r="B63">
        <v>2021</v>
      </c>
      <c r="C63" t="s">
        <v>11</v>
      </c>
      <c r="D63" t="s">
        <v>12</v>
      </c>
      <c r="E63" t="s">
        <v>13</v>
      </c>
      <c r="F63" t="s">
        <v>64</v>
      </c>
      <c r="G63">
        <v>-5</v>
      </c>
      <c r="H63" t="s">
        <v>71</v>
      </c>
      <c r="I63">
        <v>0</v>
      </c>
      <c r="J63">
        <v>5</v>
      </c>
      <c r="K63">
        <v>-5</v>
      </c>
      <c r="L63" t="s">
        <v>94</v>
      </c>
    </row>
    <row r="64" spans="1:12" x14ac:dyDescent="0.25">
      <c r="A64" s="21">
        <v>44239</v>
      </c>
      <c r="B64">
        <v>2021</v>
      </c>
      <c r="C64" t="s">
        <v>21</v>
      </c>
      <c r="D64" t="s">
        <v>22</v>
      </c>
      <c r="E64" t="s">
        <v>17</v>
      </c>
      <c r="F64" t="s">
        <v>64</v>
      </c>
      <c r="G64">
        <v>-135.9</v>
      </c>
      <c r="H64" t="s">
        <v>71</v>
      </c>
      <c r="I64">
        <v>0</v>
      </c>
      <c r="J64">
        <v>135.9</v>
      </c>
      <c r="K64">
        <v>-135.9</v>
      </c>
      <c r="L64" t="s">
        <v>94</v>
      </c>
    </row>
    <row r="65" spans="1:12" x14ac:dyDescent="0.25">
      <c r="A65" s="21">
        <v>44239</v>
      </c>
      <c r="B65">
        <v>2021</v>
      </c>
      <c r="C65" t="s">
        <v>11</v>
      </c>
      <c r="D65" t="s">
        <v>12</v>
      </c>
      <c r="E65" t="s">
        <v>13</v>
      </c>
      <c r="F65" t="s">
        <v>64</v>
      </c>
      <c r="G65">
        <v>-5</v>
      </c>
      <c r="H65" t="s">
        <v>71</v>
      </c>
      <c r="I65">
        <v>0</v>
      </c>
      <c r="J65">
        <v>5</v>
      </c>
      <c r="K65">
        <v>-5</v>
      </c>
      <c r="L65" t="s">
        <v>94</v>
      </c>
    </row>
    <row r="66" spans="1:12" x14ac:dyDescent="0.25">
      <c r="A66" s="21">
        <v>44240</v>
      </c>
      <c r="B66">
        <v>2021</v>
      </c>
      <c r="C66" t="s">
        <v>11</v>
      </c>
      <c r="D66" t="s">
        <v>12</v>
      </c>
      <c r="E66" t="s">
        <v>13</v>
      </c>
      <c r="F66" t="s">
        <v>64</v>
      </c>
      <c r="G66">
        <v>-5</v>
      </c>
      <c r="H66" t="s">
        <v>71</v>
      </c>
      <c r="I66">
        <v>0</v>
      </c>
      <c r="J66">
        <v>5</v>
      </c>
      <c r="K66">
        <v>-5</v>
      </c>
      <c r="L66" t="s">
        <v>94</v>
      </c>
    </row>
    <row r="67" spans="1:12" x14ac:dyDescent="0.25">
      <c r="A67" s="21">
        <v>44240</v>
      </c>
      <c r="B67">
        <v>2021</v>
      </c>
      <c r="C67" t="s">
        <v>26</v>
      </c>
      <c r="D67" t="s">
        <v>27</v>
      </c>
      <c r="E67" t="s">
        <v>28</v>
      </c>
      <c r="F67" t="s">
        <v>27</v>
      </c>
      <c r="G67">
        <v>-40.9</v>
      </c>
      <c r="H67" t="s">
        <v>74</v>
      </c>
      <c r="I67">
        <v>0</v>
      </c>
      <c r="J67">
        <v>40.9</v>
      </c>
      <c r="K67">
        <v>-40.9</v>
      </c>
      <c r="L67" t="s">
        <v>94</v>
      </c>
    </row>
    <row r="68" spans="1:12" x14ac:dyDescent="0.25">
      <c r="A68" s="21">
        <v>44240</v>
      </c>
      <c r="B68">
        <v>2021</v>
      </c>
      <c r="C68" t="s">
        <v>29</v>
      </c>
      <c r="D68" t="s">
        <v>30</v>
      </c>
      <c r="E68" t="s">
        <v>28</v>
      </c>
      <c r="F68" t="s">
        <v>67</v>
      </c>
      <c r="G68">
        <v>-99</v>
      </c>
      <c r="H68" t="s">
        <v>71</v>
      </c>
      <c r="I68">
        <v>0</v>
      </c>
      <c r="J68">
        <v>99</v>
      </c>
      <c r="K68">
        <v>-99</v>
      </c>
      <c r="L68" t="s">
        <v>94</v>
      </c>
    </row>
    <row r="69" spans="1:12" x14ac:dyDescent="0.25">
      <c r="A69" s="21">
        <v>44240</v>
      </c>
      <c r="B69">
        <v>2021</v>
      </c>
      <c r="C69" t="s">
        <v>31</v>
      </c>
      <c r="D69" t="s">
        <v>32</v>
      </c>
      <c r="E69" t="s">
        <v>13</v>
      </c>
      <c r="F69" t="s">
        <v>64</v>
      </c>
      <c r="G69">
        <v>-53</v>
      </c>
      <c r="H69" t="s">
        <v>71</v>
      </c>
      <c r="I69">
        <v>0</v>
      </c>
      <c r="J69">
        <v>53</v>
      </c>
      <c r="K69">
        <v>-53</v>
      </c>
      <c r="L69" t="s">
        <v>94</v>
      </c>
    </row>
    <row r="70" spans="1:12" x14ac:dyDescent="0.25">
      <c r="A70" s="21">
        <v>44241</v>
      </c>
      <c r="B70">
        <v>2021</v>
      </c>
      <c r="C70" t="s">
        <v>33</v>
      </c>
      <c r="D70" t="s">
        <v>34</v>
      </c>
      <c r="E70" t="s">
        <v>20</v>
      </c>
      <c r="F70" t="s">
        <v>68</v>
      </c>
      <c r="G70">
        <v>-28.9</v>
      </c>
      <c r="H70" t="s">
        <v>74</v>
      </c>
      <c r="I70">
        <v>0</v>
      </c>
      <c r="J70">
        <v>28.9</v>
      </c>
      <c r="K70">
        <v>-28.9</v>
      </c>
      <c r="L70" t="s">
        <v>94</v>
      </c>
    </row>
    <row r="71" spans="1:12" x14ac:dyDescent="0.25">
      <c r="A71" s="21">
        <v>44242</v>
      </c>
      <c r="B71">
        <v>2021</v>
      </c>
      <c r="C71" t="s">
        <v>35</v>
      </c>
      <c r="D71" t="s">
        <v>36</v>
      </c>
      <c r="E71" t="s">
        <v>37</v>
      </c>
      <c r="F71" t="s">
        <v>37</v>
      </c>
      <c r="G71">
        <v>800</v>
      </c>
      <c r="H71" t="s">
        <v>70</v>
      </c>
      <c r="I71">
        <v>800</v>
      </c>
      <c r="J71">
        <v>0</v>
      </c>
      <c r="K71">
        <v>800</v>
      </c>
      <c r="L71" t="s">
        <v>93</v>
      </c>
    </row>
    <row r="72" spans="1:12" x14ac:dyDescent="0.25">
      <c r="A72" s="21">
        <v>44242</v>
      </c>
      <c r="B72">
        <v>2021</v>
      </c>
      <c r="C72" t="s">
        <v>11</v>
      </c>
      <c r="D72" t="s">
        <v>12</v>
      </c>
      <c r="E72" t="s">
        <v>13</v>
      </c>
      <c r="F72" t="s">
        <v>64</v>
      </c>
      <c r="G72">
        <v>-5</v>
      </c>
      <c r="H72" t="s">
        <v>71</v>
      </c>
      <c r="I72">
        <v>0</v>
      </c>
      <c r="J72">
        <v>5</v>
      </c>
      <c r="K72">
        <v>-5</v>
      </c>
      <c r="L72" t="s">
        <v>94</v>
      </c>
    </row>
    <row r="73" spans="1:12" x14ac:dyDescent="0.25">
      <c r="A73" s="21">
        <v>44243</v>
      </c>
      <c r="B73">
        <v>2021</v>
      </c>
      <c r="C73" t="s">
        <v>11</v>
      </c>
      <c r="D73" t="s">
        <v>12</v>
      </c>
      <c r="E73" t="s">
        <v>13</v>
      </c>
      <c r="F73" t="s">
        <v>64</v>
      </c>
      <c r="G73">
        <v>-5</v>
      </c>
      <c r="H73" t="s">
        <v>71</v>
      </c>
      <c r="I73">
        <v>0</v>
      </c>
      <c r="J73">
        <v>5</v>
      </c>
      <c r="K73">
        <v>-5</v>
      </c>
      <c r="L73" t="s">
        <v>94</v>
      </c>
    </row>
    <row r="74" spans="1:12" x14ac:dyDescent="0.25">
      <c r="A74" s="21">
        <v>44243</v>
      </c>
      <c r="B74">
        <v>2021</v>
      </c>
      <c r="C74" t="s">
        <v>39</v>
      </c>
      <c r="D74" t="s">
        <v>39</v>
      </c>
      <c r="E74" t="s">
        <v>17</v>
      </c>
      <c r="F74" t="s">
        <v>69</v>
      </c>
      <c r="G74">
        <v>-40</v>
      </c>
      <c r="H74" t="s">
        <v>72</v>
      </c>
      <c r="I74">
        <v>0</v>
      </c>
      <c r="J74">
        <v>40</v>
      </c>
      <c r="K74">
        <v>-40</v>
      </c>
      <c r="L74" t="s">
        <v>94</v>
      </c>
    </row>
    <row r="75" spans="1:12" x14ac:dyDescent="0.25">
      <c r="A75" s="21">
        <v>44244</v>
      </c>
      <c r="B75">
        <v>2021</v>
      </c>
      <c r="C75" t="s">
        <v>40</v>
      </c>
      <c r="D75" t="s">
        <v>41</v>
      </c>
      <c r="E75" t="s">
        <v>28</v>
      </c>
      <c r="F75" t="s">
        <v>67</v>
      </c>
      <c r="G75">
        <v>-45.9</v>
      </c>
      <c r="H75" t="s">
        <v>71</v>
      </c>
      <c r="I75">
        <v>0</v>
      </c>
      <c r="J75">
        <v>45.9</v>
      </c>
      <c r="K75">
        <v>-45.9</v>
      </c>
      <c r="L75" t="s">
        <v>94</v>
      </c>
    </row>
    <row r="76" spans="1:12" x14ac:dyDescent="0.25">
      <c r="A76" s="21">
        <v>44244</v>
      </c>
      <c r="B76">
        <v>2021</v>
      </c>
      <c r="C76" t="s">
        <v>42</v>
      </c>
      <c r="D76" t="s">
        <v>27</v>
      </c>
      <c r="E76" t="s">
        <v>28</v>
      </c>
      <c r="F76" t="s">
        <v>27</v>
      </c>
      <c r="G76">
        <v>-35</v>
      </c>
      <c r="H76" t="s">
        <v>74</v>
      </c>
      <c r="I76">
        <v>0</v>
      </c>
      <c r="J76">
        <v>35</v>
      </c>
      <c r="K76">
        <v>-35</v>
      </c>
      <c r="L76" t="s">
        <v>94</v>
      </c>
    </row>
    <row r="77" spans="1:12" x14ac:dyDescent="0.25">
      <c r="A77" s="21">
        <v>44244</v>
      </c>
      <c r="B77">
        <v>2021</v>
      </c>
      <c r="C77" t="s">
        <v>11</v>
      </c>
      <c r="D77" t="s">
        <v>12</v>
      </c>
      <c r="E77" t="s">
        <v>13</v>
      </c>
      <c r="F77" t="s">
        <v>64</v>
      </c>
      <c r="G77">
        <v>-5</v>
      </c>
      <c r="H77" t="s">
        <v>71</v>
      </c>
      <c r="I77">
        <v>0</v>
      </c>
      <c r="J77">
        <v>5</v>
      </c>
      <c r="K77">
        <v>-5</v>
      </c>
      <c r="L77" t="s">
        <v>94</v>
      </c>
    </row>
    <row r="78" spans="1:12" x14ac:dyDescent="0.25">
      <c r="A78" s="21">
        <v>44245</v>
      </c>
      <c r="B78">
        <v>2021</v>
      </c>
      <c r="C78" t="s">
        <v>11</v>
      </c>
      <c r="D78" t="s">
        <v>12</v>
      </c>
      <c r="E78" t="s">
        <v>13</v>
      </c>
      <c r="F78" t="s">
        <v>64</v>
      </c>
      <c r="G78">
        <v>-5</v>
      </c>
      <c r="H78" t="s">
        <v>71</v>
      </c>
      <c r="I78">
        <v>0</v>
      </c>
      <c r="J78">
        <v>5</v>
      </c>
      <c r="K78">
        <v>-5</v>
      </c>
      <c r="L78" t="s">
        <v>94</v>
      </c>
    </row>
    <row r="79" spans="1:12" x14ac:dyDescent="0.25">
      <c r="A79" s="21">
        <v>44246</v>
      </c>
      <c r="B79">
        <v>2021</v>
      </c>
      <c r="C79" t="s">
        <v>11</v>
      </c>
      <c r="D79" t="s">
        <v>12</v>
      </c>
      <c r="E79" t="s">
        <v>13</v>
      </c>
      <c r="F79" t="s">
        <v>64</v>
      </c>
      <c r="G79">
        <v>-5</v>
      </c>
      <c r="H79" t="s">
        <v>71</v>
      </c>
      <c r="I79">
        <v>0</v>
      </c>
      <c r="J79">
        <v>5</v>
      </c>
      <c r="K79">
        <v>-5</v>
      </c>
      <c r="L79" t="s">
        <v>94</v>
      </c>
    </row>
    <row r="80" spans="1:12" x14ac:dyDescent="0.25">
      <c r="A80" s="21">
        <v>44246</v>
      </c>
      <c r="B80">
        <v>2021</v>
      </c>
      <c r="C80" t="s">
        <v>21</v>
      </c>
      <c r="D80" t="s">
        <v>22</v>
      </c>
      <c r="E80" t="s">
        <v>17</v>
      </c>
      <c r="F80" t="s">
        <v>64</v>
      </c>
      <c r="G80">
        <v>-171</v>
      </c>
      <c r="H80" t="s">
        <v>71</v>
      </c>
      <c r="I80">
        <v>0</v>
      </c>
      <c r="J80">
        <v>171</v>
      </c>
      <c r="K80">
        <v>-171</v>
      </c>
      <c r="L80" t="s">
        <v>94</v>
      </c>
    </row>
    <row r="81" spans="1:12" x14ac:dyDescent="0.25">
      <c r="A81" s="21">
        <v>44247</v>
      </c>
      <c r="B81">
        <v>2021</v>
      </c>
      <c r="C81" t="s">
        <v>43</v>
      </c>
      <c r="D81" t="s">
        <v>32</v>
      </c>
      <c r="E81" t="s">
        <v>13</v>
      </c>
      <c r="F81" t="s">
        <v>64</v>
      </c>
      <c r="G81">
        <v>-37.9</v>
      </c>
      <c r="H81" t="s">
        <v>71</v>
      </c>
      <c r="I81">
        <v>0</v>
      </c>
      <c r="J81">
        <v>37.9</v>
      </c>
      <c r="K81">
        <v>-37.9</v>
      </c>
      <c r="L81" t="s">
        <v>94</v>
      </c>
    </row>
    <row r="82" spans="1:12" x14ac:dyDescent="0.25">
      <c r="A82" s="21">
        <v>44248</v>
      </c>
      <c r="B82">
        <v>2021</v>
      </c>
      <c r="C82" t="s">
        <v>44</v>
      </c>
      <c r="D82" t="s">
        <v>32</v>
      </c>
      <c r="E82" t="s">
        <v>13</v>
      </c>
      <c r="F82" t="s">
        <v>64</v>
      </c>
      <c r="G82">
        <v>-12.9</v>
      </c>
      <c r="H82" t="s">
        <v>71</v>
      </c>
      <c r="I82">
        <v>0</v>
      </c>
      <c r="J82">
        <v>12.9</v>
      </c>
      <c r="K82">
        <v>-12.9</v>
      </c>
      <c r="L82" t="s">
        <v>94</v>
      </c>
    </row>
    <row r="83" spans="1:12" x14ac:dyDescent="0.25">
      <c r="A83" s="21">
        <v>44249</v>
      </c>
      <c r="B83">
        <v>2021</v>
      </c>
      <c r="C83" t="s">
        <v>45</v>
      </c>
      <c r="D83" t="s">
        <v>46</v>
      </c>
      <c r="E83" t="s">
        <v>47</v>
      </c>
      <c r="F83" t="s">
        <v>67</v>
      </c>
      <c r="G83">
        <v>-55</v>
      </c>
      <c r="H83" t="s">
        <v>71</v>
      </c>
      <c r="I83">
        <v>0</v>
      </c>
      <c r="J83">
        <v>55</v>
      </c>
      <c r="K83">
        <v>-55</v>
      </c>
      <c r="L83" t="s">
        <v>94</v>
      </c>
    </row>
    <row r="84" spans="1:12" x14ac:dyDescent="0.25">
      <c r="A84" s="21">
        <v>44249</v>
      </c>
      <c r="B84">
        <v>2021</v>
      </c>
      <c r="C84" t="s">
        <v>25</v>
      </c>
      <c r="D84" t="s">
        <v>48</v>
      </c>
      <c r="E84" t="s">
        <v>20</v>
      </c>
      <c r="F84" t="s">
        <v>68</v>
      </c>
      <c r="G84">
        <v>-64.099999999999994</v>
      </c>
      <c r="H84" t="s">
        <v>74</v>
      </c>
      <c r="I84">
        <v>0</v>
      </c>
      <c r="J84">
        <v>64.099999999999994</v>
      </c>
      <c r="K84">
        <v>-64.099999999999994</v>
      </c>
      <c r="L84" t="s">
        <v>94</v>
      </c>
    </row>
    <row r="85" spans="1:12" x14ac:dyDescent="0.25">
      <c r="A85" s="21">
        <v>44249</v>
      </c>
      <c r="B85">
        <v>2021</v>
      </c>
      <c r="C85" t="s">
        <v>11</v>
      </c>
      <c r="D85" t="s">
        <v>12</v>
      </c>
      <c r="E85" t="s">
        <v>13</v>
      </c>
      <c r="F85" t="s">
        <v>64</v>
      </c>
      <c r="G85">
        <v>-5</v>
      </c>
      <c r="H85" t="s">
        <v>71</v>
      </c>
      <c r="I85">
        <v>0</v>
      </c>
      <c r="J85">
        <v>5</v>
      </c>
      <c r="K85">
        <v>-5</v>
      </c>
      <c r="L85" t="s">
        <v>94</v>
      </c>
    </row>
    <row r="86" spans="1:12" x14ac:dyDescent="0.25">
      <c r="A86" s="21">
        <v>44250</v>
      </c>
      <c r="B86">
        <v>2021</v>
      </c>
      <c r="C86" t="s">
        <v>11</v>
      </c>
      <c r="D86" t="s">
        <v>12</v>
      </c>
      <c r="E86" t="s">
        <v>13</v>
      </c>
      <c r="F86" t="s">
        <v>64</v>
      </c>
      <c r="G86">
        <v>-5</v>
      </c>
      <c r="H86" t="s">
        <v>71</v>
      </c>
      <c r="I86">
        <v>0</v>
      </c>
      <c r="J86">
        <v>5</v>
      </c>
      <c r="K86">
        <v>-5</v>
      </c>
      <c r="L86" t="s">
        <v>94</v>
      </c>
    </row>
    <row r="87" spans="1:12" x14ac:dyDescent="0.25">
      <c r="A87" s="21">
        <v>44251</v>
      </c>
      <c r="B87">
        <v>2021</v>
      </c>
      <c r="C87" t="s">
        <v>11</v>
      </c>
      <c r="D87" t="s">
        <v>12</v>
      </c>
      <c r="E87" t="s">
        <v>13</v>
      </c>
      <c r="F87" t="s">
        <v>64</v>
      </c>
      <c r="G87">
        <v>-5</v>
      </c>
      <c r="H87" t="s">
        <v>71</v>
      </c>
      <c r="I87">
        <v>0</v>
      </c>
      <c r="J87">
        <v>5</v>
      </c>
      <c r="K87">
        <v>-5</v>
      </c>
      <c r="L87" t="s">
        <v>94</v>
      </c>
    </row>
    <row r="88" spans="1:12" x14ac:dyDescent="0.25">
      <c r="A88" s="21">
        <v>44252</v>
      </c>
      <c r="B88">
        <v>2021</v>
      </c>
      <c r="C88" t="s">
        <v>11</v>
      </c>
      <c r="D88" t="s">
        <v>12</v>
      </c>
      <c r="E88" t="s">
        <v>13</v>
      </c>
      <c r="F88" t="s">
        <v>64</v>
      </c>
      <c r="G88">
        <v>-5</v>
      </c>
      <c r="H88" t="s">
        <v>71</v>
      </c>
      <c r="I88">
        <v>0</v>
      </c>
      <c r="J88">
        <v>5</v>
      </c>
      <c r="K88">
        <v>-5</v>
      </c>
      <c r="L88" t="s">
        <v>94</v>
      </c>
    </row>
    <row r="89" spans="1:12" x14ac:dyDescent="0.25">
      <c r="A89" s="21">
        <v>44253</v>
      </c>
      <c r="B89">
        <v>2021</v>
      </c>
      <c r="C89" t="s">
        <v>11</v>
      </c>
      <c r="D89" t="s">
        <v>12</v>
      </c>
      <c r="E89" t="s">
        <v>13</v>
      </c>
      <c r="F89" t="s">
        <v>64</v>
      </c>
      <c r="G89">
        <v>-5</v>
      </c>
      <c r="H89" t="s">
        <v>71</v>
      </c>
      <c r="I89">
        <v>0</v>
      </c>
      <c r="J89">
        <v>5</v>
      </c>
      <c r="K89">
        <v>-5</v>
      </c>
      <c r="L89" t="s">
        <v>94</v>
      </c>
    </row>
    <row r="90" spans="1:12" x14ac:dyDescent="0.25">
      <c r="A90" s="21">
        <v>44253</v>
      </c>
      <c r="B90">
        <v>2021</v>
      </c>
      <c r="C90" t="s">
        <v>21</v>
      </c>
      <c r="D90" t="s">
        <v>22</v>
      </c>
      <c r="E90" t="s">
        <v>17</v>
      </c>
      <c r="F90" t="s">
        <v>64</v>
      </c>
      <c r="G90">
        <v>-162.9</v>
      </c>
      <c r="H90" t="s">
        <v>71</v>
      </c>
      <c r="I90">
        <v>0</v>
      </c>
      <c r="J90">
        <v>162.9</v>
      </c>
      <c r="K90">
        <v>-162.9</v>
      </c>
      <c r="L90" t="s">
        <v>94</v>
      </c>
    </row>
    <row r="91" spans="1:12" x14ac:dyDescent="0.25">
      <c r="A91" s="21">
        <v>44254</v>
      </c>
      <c r="B91">
        <v>2021</v>
      </c>
      <c r="C91" t="s">
        <v>49</v>
      </c>
      <c r="D91" t="s">
        <v>30</v>
      </c>
      <c r="E91" t="s">
        <v>28</v>
      </c>
      <c r="F91" t="s">
        <v>67</v>
      </c>
      <c r="G91">
        <v>-125.9</v>
      </c>
      <c r="H91" t="s">
        <v>71</v>
      </c>
      <c r="I91">
        <v>0</v>
      </c>
      <c r="J91">
        <v>125.9</v>
      </c>
      <c r="K91">
        <v>-125.9</v>
      </c>
      <c r="L91" t="s">
        <v>94</v>
      </c>
    </row>
    <row r="92" spans="1:12" x14ac:dyDescent="0.25">
      <c r="A92" s="21">
        <v>44254</v>
      </c>
      <c r="B92">
        <v>2021</v>
      </c>
      <c r="C92" t="s">
        <v>51</v>
      </c>
      <c r="D92" t="s">
        <v>30</v>
      </c>
      <c r="E92" t="s">
        <v>28</v>
      </c>
      <c r="F92" t="s">
        <v>67</v>
      </c>
      <c r="G92">
        <v>-137</v>
      </c>
      <c r="H92" t="s">
        <v>71</v>
      </c>
      <c r="I92">
        <v>0</v>
      </c>
      <c r="J92">
        <v>137</v>
      </c>
      <c r="K92">
        <v>-137</v>
      </c>
      <c r="L92" t="s">
        <v>94</v>
      </c>
    </row>
    <row r="93" spans="1:12" x14ac:dyDescent="0.25">
      <c r="A93" s="21">
        <v>44255</v>
      </c>
      <c r="B93">
        <v>2021</v>
      </c>
      <c r="C93" t="s">
        <v>29</v>
      </c>
      <c r="D93" t="s">
        <v>30</v>
      </c>
      <c r="E93" t="s">
        <v>28</v>
      </c>
      <c r="F93" t="s">
        <v>67</v>
      </c>
      <c r="G93">
        <v>-146.1</v>
      </c>
      <c r="H93" t="s">
        <v>71</v>
      </c>
      <c r="I93">
        <v>0</v>
      </c>
      <c r="J93">
        <v>146.1</v>
      </c>
      <c r="K93">
        <v>-146.1</v>
      </c>
      <c r="L93" t="s">
        <v>94</v>
      </c>
    </row>
    <row r="94" spans="1:12" x14ac:dyDescent="0.25">
      <c r="A94" s="21">
        <v>44255</v>
      </c>
      <c r="B94">
        <v>2021</v>
      </c>
      <c r="C94" t="s">
        <v>33</v>
      </c>
      <c r="D94" t="s">
        <v>34</v>
      </c>
      <c r="E94" t="s">
        <v>20</v>
      </c>
      <c r="F94" t="s">
        <v>68</v>
      </c>
      <c r="G94">
        <v>-24.1</v>
      </c>
      <c r="H94" t="s">
        <v>74</v>
      </c>
      <c r="I94">
        <v>0</v>
      </c>
      <c r="J94">
        <v>24.1</v>
      </c>
      <c r="K94">
        <v>-24.1</v>
      </c>
      <c r="L94" t="s">
        <v>94</v>
      </c>
    </row>
    <row r="95" spans="1:12" x14ac:dyDescent="0.25">
      <c r="A95" s="21">
        <v>44256</v>
      </c>
      <c r="B95">
        <v>2021</v>
      </c>
      <c r="C95" t="s">
        <v>7</v>
      </c>
      <c r="D95" t="s">
        <v>8</v>
      </c>
      <c r="E95" t="s">
        <v>9</v>
      </c>
      <c r="F95" t="s">
        <v>9</v>
      </c>
      <c r="G95">
        <v>5000</v>
      </c>
      <c r="H95" t="s">
        <v>70</v>
      </c>
      <c r="I95">
        <v>5000</v>
      </c>
      <c r="J95">
        <v>0</v>
      </c>
      <c r="K95">
        <v>5000</v>
      </c>
      <c r="L95" t="s">
        <v>93</v>
      </c>
    </row>
    <row r="96" spans="1:12" x14ac:dyDescent="0.25">
      <c r="A96" s="21">
        <v>44256</v>
      </c>
      <c r="B96">
        <v>2021</v>
      </c>
      <c r="C96" t="s">
        <v>11</v>
      </c>
      <c r="D96" t="s">
        <v>12</v>
      </c>
      <c r="E96" t="s">
        <v>13</v>
      </c>
      <c r="F96" t="s">
        <v>64</v>
      </c>
      <c r="G96">
        <v>-5</v>
      </c>
      <c r="H96" t="s">
        <v>71</v>
      </c>
      <c r="I96">
        <v>0</v>
      </c>
      <c r="J96">
        <v>5</v>
      </c>
      <c r="K96">
        <v>-5</v>
      </c>
      <c r="L96" t="s">
        <v>94</v>
      </c>
    </row>
    <row r="97" spans="1:12" x14ac:dyDescent="0.25">
      <c r="A97" s="21">
        <v>44257</v>
      </c>
      <c r="B97">
        <v>2021</v>
      </c>
      <c r="C97" t="s">
        <v>15</v>
      </c>
      <c r="D97" t="s">
        <v>16</v>
      </c>
      <c r="E97" t="s">
        <v>17</v>
      </c>
      <c r="F97" t="s">
        <v>65</v>
      </c>
      <c r="G97">
        <v>-900</v>
      </c>
      <c r="H97" t="s">
        <v>72</v>
      </c>
      <c r="I97">
        <v>0</v>
      </c>
      <c r="J97">
        <v>900</v>
      </c>
      <c r="K97">
        <v>-900</v>
      </c>
      <c r="L97" t="s">
        <v>94</v>
      </c>
    </row>
    <row r="98" spans="1:12" x14ac:dyDescent="0.25">
      <c r="A98" s="21">
        <v>44257</v>
      </c>
      <c r="B98">
        <v>2021</v>
      </c>
      <c r="C98" t="s">
        <v>18</v>
      </c>
      <c r="D98" t="s">
        <v>19</v>
      </c>
      <c r="E98" t="s">
        <v>20</v>
      </c>
      <c r="F98" t="s">
        <v>66</v>
      </c>
      <c r="G98">
        <v>-150</v>
      </c>
      <c r="H98" t="s">
        <v>73</v>
      </c>
      <c r="I98">
        <v>0</v>
      </c>
      <c r="J98">
        <v>150</v>
      </c>
      <c r="K98">
        <v>-150</v>
      </c>
      <c r="L98" t="s">
        <v>94</v>
      </c>
    </row>
    <row r="99" spans="1:12" x14ac:dyDescent="0.25">
      <c r="A99" s="21">
        <v>44257</v>
      </c>
      <c r="B99">
        <v>2021</v>
      </c>
      <c r="C99" t="s">
        <v>11</v>
      </c>
      <c r="D99" t="s">
        <v>12</v>
      </c>
      <c r="E99" t="s">
        <v>13</v>
      </c>
      <c r="F99" t="s">
        <v>64</v>
      </c>
      <c r="G99">
        <v>-5</v>
      </c>
      <c r="H99" t="s">
        <v>71</v>
      </c>
      <c r="I99">
        <v>0</v>
      </c>
      <c r="J99">
        <v>5</v>
      </c>
      <c r="K99">
        <v>-5</v>
      </c>
      <c r="L99" t="s">
        <v>94</v>
      </c>
    </row>
    <row r="100" spans="1:12" x14ac:dyDescent="0.25">
      <c r="A100" s="21">
        <v>44258</v>
      </c>
      <c r="B100">
        <v>2021</v>
      </c>
      <c r="C100" t="s">
        <v>11</v>
      </c>
      <c r="D100" t="s">
        <v>12</v>
      </c>
      <c r="E100" t="s">
        <v>13</v>
      </c>
      <c r="F100" t="s">
        <v>64</v>
      </c>
      <c r="G100">
        <v>-5</v>
      </c>
      <c r="H100" t="s">
        <v>71</v>
      </c>
      <c r="I100">
        <v>0</v>
      </c>
      <c r="J100">
        <v>5</v>
      </c>
      <c r="K100">
        <v>-5</v>
      </c>
      <c r="L100" t="s">
        <v>94</v>
      </c>
    </row>
    <row r="101" spans="1:12" x14ac:dyDescent="0.25">
      <c r="A101" s="21">
        <v>44259</v>
      </c>
      <c r="B101">
        <v>2021</v>
      </c>
      <c r="C101" t="s">
        <v>11</v>
      </c>
      <c r="D101" t="s">
        <v>12</v>
      </c>
      <c r="E101" t="s">
        <v>13</v>
      </c>
      <c r="F101" t="s">
        <v>64</v>
      </c>
      <c r="G101">
        <v>-5</v>
      </c>
      <c r="H101" t="s">
        <v>71</v>
      </c>
      <c r="I101">
        <v>0</v>
      </c>
      <c r="J101">
        <v>5</v>
      </c>
      <c r="K101">
        <v>-5</v>
      </c>
      <c r="L101" t="s">
        <v>94</v>
      </c>
    </row>
    <row r="102" spans="1:12" x14ac:dyDescent="0.25">
      <c r="A102" s="21">
        <v>44260</v>
      </c>
      <c r="B102">
        <v>2021</v>
      </c>
      <c r="C102" t="s">
        <v>11</v>
      </c>
      <c r="D102" t="s">
        <v>12</v>
      </c>
      <c r="E102" t="s">
        <v>13</v>
      </c>
      <c r="F102" t="s">
        <v>64</v>
      </c>
      <c r="G102">
        <v>-5</v>
      </c>
      <c r="H102" t="s">
        <v>71</v>
      </c>
      <c r="I102">
        <v>0</v>
      </c>
      <c r="J102">
        <v>5</v>
      </c>
      <c r="K102">
        <v>-5</v>
      </c>
      <c r="L102" t="s">
        <v>94</v>
      </c>
    </row>
    <row r="103" spans="1:12" x14ac:dyDescent="0.25">
      <c r="A103" s="21">
        <v>44260</v>
      </c>
      <c r="B103">
        <v>2021</v>
      </c>
      <c r="C103" t="s">
        <v>21</v>
      </c>
      <c r="D103" t="s">
        <v>22</v>
      </c>
      <c r="E103" t="s">
        <v>17</v>
      </c>
      <c r="F103" t="s">
        <v>64</v>
      </c>
      <c r="G103">
        <v>-149</v>
      </c>
      <c r="H103" t="s">
        <v>71</v>
      </c>
      <c r="I103">
        <v>0</v>
      </c>
      <c r="J103">
        <v>149</v>
      </c>
      <c r="K103">
        <v>-149</v>
      </c>
      <c r="L103" t="s">
        <v>94</v>
      </c>
    </row>
    <row r="104" spans="1:12" x14ac:dyDescent="0.25">
      <c r="A104" s="21">
        <v>44263</v>
      </c>
      <c r="B104">
        <v>2021</v>
      </c>
      <c r="C104" t="s">
        <v>23</v>
      </c>
      <c r="D104" t="s">
        <v>24</v>
      </c>
      <c r="E104" t="s">
        <v>17</v>
      </c>
      <c r="F104" t="s">
        <v>64</v>
      </c>
      <c r="G104">
        <v>-52.1</v>
      </c>
      <c r="H104" t="s">
        <v>71</v>
      </c>
      <c r="I104">
        <v>0</v>
      </c>
      <c r="J104">
        <v>52.1</v>
      </c>
      <c r="K104">
        <v>-52.1</v>
      </c>
      <c r="L104" t="s">
        <v>94</v>
      </c>
    </row>
    <row r="105" spans="1:12" x14ac:dyDescent="0.25">
      <c r="A105" s="21">
        <v>44263</v>
      </c>
      <c r="B105">
        <v>2021</v>
      </c>
      <c r="C105" t="s">
        <v>11</v>
      </c>
      <c r="D105" t="s">
        <v>12</v>
      </c>
      <c r="E105" t="s">
        <v>13</v>
      </c>
      <c r="F105" t="s">
        <v>64</v>
      </c>
      <c r="G105">
        <v>-5</v>
      </c>
      <c r="H105" t="s">
        <v>71</v>
      </c>
      <c r="I105">
        <v>0</v>
      </c>
      <c r="J105">
        <v>5</v>
      </c>
      <c r="K105">
        <v>-5</v>
      </c>
      <c r="L105" t="s">
        <v>94</v>
      </c>
    </row>
    <row r="106" spans="1:12" x14ac:dyDescent="0.25">
      <c r="A106" s="21">
        <v>44264</v>
      </c>
      <c r="B106">
        <v>2021</v>
      </c>
      <c r="C106" t="s">
        <v>11</v>
      </c>
      <c r="D106" t="s">
        <v>12</v>
      </c>
      <c r="E106" t="s">
        <v>13</v>
      </c>
      <c r="F106" t="s">
        <v>64</v>
      </c>
      <c r="G106">
        <v>-5</v>
      </c>
      <c r="H106" t="s">
        <v>71</v>
      </c>
      <c r="I106">
        <v>0</v>
      </c>
      <c r="J106">
        <v>5</v>
      </c>
      <c r="K106">
        <v>-5</v>
      </c>
      <c r="L106" t="s">
        <v>94</v>
      </c>
    </row>
    <row r="107" spans="1:12" x14ac:dyDescent="0.25">
      <c r="A107" s="21">
        <v>44265</v>
      </c>
      <c r="B107">
        <v>2021</v>
      </c>
      <c r="C107" t="s">
        <v>25</v>
      </c>
      <c r="D107" t="s">
        <v>48</v>
      </c>
      <c r="E107" t="s">
        <v>20</v>
      </c>
      <c r="F107" t="s">
        <v>68</v>
      </c>
      <c r="G107">
        <v>-78.900000000000006</v>
      </c>
      <c r="H107" t="s">
        <v>74</v>
      </c>
      <c r="I107">
        <v>0</v>
      </c>
      <c r="J107">
        <v>78.900000000000006</v>
      </c>
      <c r="K107">
        <v>-78.900000000000006</v>
      </c>
      <c r="L107" t="s">
        <v>94</v>
      </c>
    </row>
    <row r="108" spans="1:12" x14ac:dyDescent="0.25">
      <c r="A108" s="21">
        <v>44265</v>
      </c>
      <c r="B108">
        <v>2021</v>
      </c>
      <c r="C108" t="s">
        <v>11</v>
      </c>
      <c r="D108" t="s">
        <v>12</v>
      </c>
      <c r="E108" t="s">
        <v>13</v>
      </c>
      <c r="F108" t="s">
        <v>64</v>
      </c>
      <c r="G108">
        <v>-5</v>
      </c>
      <c r="H108" t="s">
        <v>71</v>
      </c>
      <c r="I108">
        <v>0</v>
      </c>
      <c r="J108">
        <v>5</v>
      </c>
      <c r="K108">
        <v>-5</v>
      </c>
      <c r="L108" t="s">
        <v>94</v>
      </c>
    </row>
    <row r="109" spans="1:12" x14ac:dyDescent="0.25">
      <c r="A109" s="21">
        <v>44266</v>
      </c>
      <c r="B109">
        <v>2021</v>
      </c>
      <c r="C109" t="s">
        <v>11</v>
      </c>
      <c r="D109" t="s">
        <v>12</v>
      </c>
      <c r="E109" t="s">
        <v>13</v>
      </c>
      <c r="F109" t="s">
        <v>64</v>
      </c>
      <c r="G109">
        <v>-5</v>
      </c>
      <c r="H109" t="s">
        <v>71</v>
      </c>
      <c r="I109">
        <v>0</v>
      </c>
      <c r="J109">
        <v>5</v>
      </c>
      <c r="K109">
        <v>-5</v>
      </c>
      <c r="L109" t="s">
        <v>94</v>
      </c>
    </row>
    <row r="110" spans="1:12" x14ac:dyDescent="0.25">
      <c r="A110" s="21">
        <v>44267</v>
      </c>
      <c r="B110">
        <v>2021</v>
      </c>
      <c r="C110" t="s">
        <v>21</v>
      </c>
      <c r="D110" t="s">
        <v>22</v>
      </c>
      <c r="E110" t="s">
        <v>17</v>
      </c>
      <c r="F110" t="s">
        <v>64</v>
      </c>
      <c r="G110">
        <v>-137</v>
      </c>
      <c r="H110" t="s">
        <v>71</v>
      </c>
      <c r="I110">
        <v>0</v>
      </c>
      <c r="J110">
        <v>137</v>
      </c>
      <c r="K110">
        <v>-137</v>
      </c>
      <c r="L110" t="s">
        <v>94</v>
      </c>
    </row>
    <row r="111" spans="1:12" x14ac:dyDescent="0.25">
      <c r="A111" s="21">
        <v>44267</v>
      </c>
      <c r="B111">
        <v>2021</v>
      </c>
      <c r="C111" t="s">
        <v>11</v>
      </c>
      <c r="D111" t="s">
        <v>12</v>
      </c>
      <c r="E111" t="s">
        <v>13</v>
      </c>
      <c r="F111" t="s">
        <v>64</v>
      </c>
      <c r="G111">
        <v>-5</v>
      </c>
      <c r="H111" t="s">
        <v>71</v>
      </c>
      <c r="I111">
        <v>0</v>
      </c>
      <c r="J111">
        <v>5</v>
      </c>
      <c r="K111">
        <v>-5</v>
      </c>
      <c r="L111" t="s">
        <v>94</v>
      </c>
    </row>
    <row r="112" spans="1:12" x14ac:dyDescent="0.25">
      <c r="A112" s="21">
        <v>44268</v>
      </c>
      <c r="B112">
        <v>2021</v>
      </c>
      <c r="C112" t="s">
        <v>11</v>
      </c>
      <c r="D112" t="s">
        <v>12</v>
      </c>
      <c r="E112" t="s">
        <v>13</v>
      </c>
      <c r="F112" t="s">
        <v>64</v>
      </c>
      <c r="G112">
        <v>-5</v>
      </c>
      <c r="H112" t="s">
        <v>71</v>
      </c>
      <c r="I112">
        <v>0</v>
      </c>
      <c r="J112">
        <v>5</v>
      </c>
      <c r="K112">
        <v>-5</v>
      </c>
      <c r="L112" t="s">
        <v>94</v>
      </c>
    </row>
    <row r="113" spans="1:12" x14ac:dyDescent="0.25">
      <c r="A113" s="21">
        <v>44268</v>
      </c>
      <c r="B113">
        <v>2021</v>
      </c>
      <c r="C113" t="s">
        <v>26</v>
      </c>
      <c r="D113" t="s">
        <v>27</v>
      </c>
      <c r="E113" t="s">
        <v>28</v>
      </c>
      <c r="F113" t="s">
        <v>27</v>
      </c>
      <c r="G113">
        <v>-41.8</v>
      </c>
      <c r="H113" t="s">
        <v>74</v>
      </c>
      <c r="I113">
        <v>0</v>
      </c>
      <c r="J113">
        <v>41.8</v>
      </c>
      <c r="K113">
        <v>-41.8</v>
      </c>
      <c r="L113" t="s">
        <v>94</v>
      </c>
    </row>
    <row r="114" spans="1:12" x14ac:dyDescent="0.25">
      <c r="A114" s="21">
        <v>44268</v>
      </c>
      <c r="B114">
        <v>2021</v>
      </c>
      <c r="C114" t="s">
        <v>29</v>
      </c>
      <c r="D114" t="s">
        <v>30</v>
      </c>
      <c r="E114" t="s">
        <v>28</v>
      </c>
      <c r="F114" t="s">
        <v>67</v>
      </c>
      <c r="G114">
        <v>-99.9</v>
      </c>
      <c r="H114" t="s">
        <v>71</v>
      </c>
      <c r="I114">
        <v>0</v>
      </c>
      <c r="J114">
        <v>99.9</v>
      </c>
      <c r="K114">
        <v>-99.9</v>
      </c>
      <c r="L114" t="s">
        <v>94</v>
      </c>
    </row>
    <row r="115" spans="1:12" x14ac:dyDescent="0.25">
      <c r="A115" s="21">
        <v>44268</v>
      </c>
      <c r="B115">
        <v>2021</v>
      </c>
      <c r="C115" t="s">
        <v>31</v>
      </c>
      <c r="D115" t="s">
        <v>32</v>
      </c>
      <c r="E115" t="s">
        <v>13</v>
      </c>
      <c r="F115" t="s">
        <v>64</v>
      </c>
      <c r="G115">
        <v>-54</v>
      </c>
      <c r="H115" t="s">
        <v>71</v>
      </c>
      <c r="I115">
        <v>0</v>
      </c>
      <c r="J115">
        <v>54</v>
      </c>
      <c r="K115">
        <v>-54</v>
      </c>
      <c r="L115" t="s">
        <v>94</v>
      </c>
    </row>
    <row r="116" spans="1:12" x14ac:dyDescent="0.25">
      <c r="A116" s="21">
        <v>44269</v>
      </c>
      <c r="B116">
        <v>2021</v>
      </c>
      <c r="C116" t="s">
        <v>33</v>
      </c>
      <c r="D116" t="s">
        <v>34</v>
      </c>
      <c r="E116" t="s">
        <v>20</v>
      </c>
      <c r="F116" t="s">
        <v>68</v>
      </c>
      <c r="G116">
        <v>-30</v>
      </c>
      <c r="H116" t="s">
        <v>74</v>
      </c>
      <c r="I116">
        <v>0</v>
      </c>
      <c r="J116">
        <v>30</v>
      </c>
      <c r="K116">
        <v>-30</v>
      </c>
      <c r="L116" t="s">
        <v>94</v>
      </c>
    </row>
    <row r="117" spans="1:12" x14ac:dyDescent="0.25">
      <c r="A117" s="21">
        <v>44270</v>
      </c>
      <c r="B117">
        <v>2021</v>
      </c>
      <c r="C117" t="s">
        <v>35</v>
      </c>
      <c r="D117" t="s">
        <v>36</v>
      </c>
      <c r="E117" t="s">
        <v>37</v>
      </c>
      <c r="F117" t="s">
        <v>37</v>
      </c>
      <c r="G117">
        <v>1000</v>
      </c>
      <c r="H117" t="s">
        <v>70</v>
      </c>
      <c r="I117">
        <v>1000</v>
      </c>
      <c r="J117">
        <v>0</v>
      </c>
      <c r="K117">
        <v>1000</v>
      </c>
      <c r="L117" t="s">
        <v>93</v>
      </c>
    </row>
    <row r="118" spans="1:12" x14ac:dyDescent="0.25">
      <c r="A118" s="21">
        <v>44270</v>
      </c>
      <c r="B118">
        <v>2021</v>
      </c>
      <c r="C118" t="s">
        <v>11</v>
      </c>
      <c r="D118" t="s">
        <v>12</v>
      </c>
      <c r="E118" t="s">
        <v>13</v>
      </c>
      <c r="F118" t="s">
        <v>64</v>
      </c>
      <c r="G118">
        <v>-5</v>
      </c>
      <c r="H118" t="s">
        <v>71</v>
      </c>
      <c r="I118">
        <v>0</v>
      </c>
      <c r="J118">
        <v>5</v>
      </c>
      <c r="K118">
        <v>-5</v>
      </c>
      <c r="L118" t="s">
        <v>94</v>
      </c>
    </row>
    <row r="119" spans="1:12" x14ac:dyDescent="0.25">
      <c r="A119" s="21">
        <v>44271</v>
      </c>
      <c r="B119">
        <v>2021</v>
      </c>
      <c r="C119" t="s">
        <v>11</v>
      </c>
      <c r="D119" t="s">
        <v>12</v>
      </c>
      <c r="E119" t="s">
        <v>13</v>
      </c>
      <c r="F119" t="s">
        <v>64</v>
      </c>
      <c r="G119">
        <v>-5</v>
      </c>
      <c r="H119" t="s">
        <v>71</v>
      </c>
      <c r="I119">
        <v>0</v>
      </c>
      <c r="J119">
        <v>5</v>
      </c>
      <c r="K119">
        <v>-5</v>
      </c>
      <c r="L119" t="s">
        <v>94</v>
      </c>
    </row>
    <row r="120" spans="1:12" x14ac:dyDescent="0.25">
      <c r="A120" s="21">
        <v>44271</v>
      </c>
      <c r="B120">
        <v>2021</v>
      </c>
      <c r="C120" t="s">
        <v>52</v>
      </c>
      <c r="D120" t="s">
        <v>53</v>
      </c>
      <c r="E120" t="s">
        <v>54</v>
      </c>
      <c r="F120" t="s">
        <v>54</v>
      </c>
      <c r="G120">
        <v>-75</v>
      </c>
      <c r="H120" t="s">
        <v>74</v>
      </c>
      <c r="I120">
        <v>0</v>
      </c>
      <c r="J120">
        <v>75</v>
      </c>
      <c r="K120">
        <v>-75</v>
      </c>
      <c r="L120" t="s">
        <v>94</v>
      </c>
    </row>
    <row r="121" spans="1:12" x14ac:dyDescent="0.25">
      <c r="A121" s="21">
        <v>44271</v>
      </c>
      <c r="B121">
        <v>2021</v>
      </c>
      <c r="C121" t="s">
        <v>39</v>
      </c>
      <c r="D121" t="s">
        <v>39</v>
      </c>
      <c r="E121" t="s">
        <v>17</v>
      </c>
      <c r="F121" t="s">
        <v>69</v>
      </c>
      <c r="G121">
        <v>-40</v>
      </c>
      <c r="H121" t="s">
        <v>72</v>
      </c>
      <c r="I121">
        <v>0</v>
      </c>
      <c r="J121">
        <v>40</v>
      </c>
      <c r="K121">
        <v>-40</v>
      </c>
      <c r="L121" t="s">
        <v>94</v>
      </c>
    </row>
    <row r="122" spans="1:12" x14ac:dyDescent="0.25">
      <c r="A122" s="21">
        <v>44272</v>
      </c>
      <c r="B122">
        <v>2021</v>
      </c>
      <c r="C122" t="s">
        <v>40</v>
      </c>
      <c r="D122" t="s">
        <v>41</v>
      </c>
      <c r="E122" t="s">
        <v>28</v>
      </c>
      <c r="F122" t="s">
        <v>67</v>
      </c>
      <c r="G122">
        <v>-46.8</v>
      </c>
      <c r="H122" t="s">
        <v>71</v>
      </c>
      <c r="I122">
        <v>0</v>
      </c>
      <c r="J122">
        <v>46.8</v>
      </c>
      <c r="K122">
        <v>-46.8</v>
      </c>
      <c r="L122" t="s">
        <v>94</v>
      </c>
    </row>
    <row r="123" spans="1:12" x14ac:dyDescent="0.25">
      <c r="A123" s="21">
        <v>44272</v>
      </c>
      <c r="B123">
        <v>2021</v>
      </c>
      <c r="C123" t="s">
        <v>42</v>
      </c>
      <c r="D123" t="s">
        <v>27</v>
      </c>
      <c r="E123" t="s">
        <v>28</v>
      </c>
      <c r="F123" t="s">
        <v>27</v>
      </c>
      <c r="G123">
        <v>-35</v>
      </c>
      <c r="H123" t="s">
        <v>74</v>
      </c>
      <c r="I123">
        <v>0</v>
      </c>
      <c r="J123">
        <v>35</v>
      </c>
      <c r="K123">
        <v>-35</v>
      </c>
      <c r="L123" t="s">
        <v>94</v>
      </c>
    </row>
    <row r="124" spans="1:12" x14ac:dyDescent="0.25">
      <c r="A124" s="21">
        <v>44272</v>
      </c>
      <c r="B124">
        <v>2021</v>
      </c>
      <c r="C124" t="s">
        <v>11</v>
      </c>
      <c r="D124" t="s">
        <v>12</v>
      </c>
      <c r="E124" t="s">
        <v>13</v>
      </c>
      <c r="F124" t="s">
        <v>64</v>
      </c>
      <c r="G124">
        <v>-5</v>
      </c>
      <c r="H124" t="s">
        <v>71</v>
      </c>
      <c r="I124">
        <v>0</v>
      </c>
      <c r="J124">
        <v>5</v>
      </c>
      <c r="K124">
        <v>-5</v>
      </c>
      <c r="L124" t="s">
        <v>94</v>
      </c>
    </row>
    <row r="125" spans="1:12" x14ac:dyDescent="0.25">
      <c r="A125" s="21">
        <v>44273</v>
      </c>
      <c r="B125">
        <v>2021</v>
      </c>
      <c r="C125" t="s">
        <v>11</v>
      </c>
      <c r="D125" t="s">
        <v>12</v>
      </c>
      <c r="E125" t="s">
        <v>13</v>
      </c>
      <c r="F125" t="s">
        <v>64</v>
      </c>
      <c r="G125">
        <v>-5</v>
      </c>
      <c r="H125" t="s">
        <v>71</v>
      </c>
      <c r="I125">
        <v>0</v>
      </c>
      <c r="J125">
        <v>5</v>
      </c>
      <c r="K125">
        <v>-5</v>
      </c>
      <c r="L125" t="s">
        <v>94</v>
      </c>
    </row>
    <row r="126" spans="1:12" x14ac:dyDescent="0.25">
      <c r="A126" s="21">
        <v>44274</v>
      </c>
      <c r="B126">
        <v>2021</v>
      </c>
      <c r="C126" t="s">
        <v>11</v>
      </c>
      <c r="D126" t="s">
        <v>12</v>
      </c>
      <c r="E126" t="s">
        <v>13</v>
      </c>
      <c r="F126" t="s">
        <v>64</v>
      </c>
      <c r="G126">
        <v>-5</v>
      </c>
      <c r="H126" t="s">
        <v>71</v>
      </c>
      <c r="I126">
        <v>0</v>
      </c>
      <c r="J126">
        <v>5</v>
      </c>
      <c r="K126">
        <v>-5</v>
      </c>
      <c r="L126" t="s">
        <v>94</v>
      </c>
    </row>
    <row r="127" spans="1:12" x14ac:dyDescent="0.25">
      <c r="A127" s="21">
        <v>44274</v>
      </c>
      <c r="B127">
        <v>2021</v>
      </c>
      <c r="C127" t="s">
        <v>21</v>
      </c>
      <c r="D127" t="s">
        <v>22</v>
      </c>
      <c r="E127" t="s">
        <v>17</v>
      </c>
      <c r="F127" t="s">
        <v>64</v>
      </c>
      <c r="G127">
        <v>-171.9</v>
      </c>
      <c r="H127" t="s">
        <v>71</v>
      </c>
      <c r="I127">
        <v>0</v>
      </c>
      <c r="J127">
        <v>171.9</v>
      </c>
      <c r="K127">
        <v>-171.9</v>
      </c>
      <c r="L127" t="s">
        <v>94</v>
      </c>
    </row>
    <row r="128" spans="1:12" x14ac:dyDescent="0.25">
      <c r="A128" s="21">
        <v>44275</v>
      </c>
      <c r="B128">
        <v>2021</v>
      </c>
      <c r="C128" t="s">
        <v>43</v>
      </c>
      <c r="D128" t="s">
        <v>32</v>
      </c>
      <c r="E128" t="s">
        <v>13</v>
      </c>
      <c r="F128" t="s">
        <v>64</v>
      </c>
      <c r="G128">
        <v>-39</v>
      </c>
      <c r="H128" t="s">
        <v>71</v>
      </c>
      <c r="I128">
        <v>0</v>
      </c>
      <c r="J128">
        <v>39</v>
      </c>
      <c r="K128">
        <v>-39</v>
      </c>
      <c r="L128" t="s">
        <v>94</v>
      </c>
    </row>
    <row r="129" spans="1:12" x14ac:dyDescent="0.25">
      <c r="A129" s="21">
        <v>44276</v>
      </c>
      <c r="B129">
        <v>2021</v>
      </c>
      <c r="C129" t="s">
        <v>44</v>
      </c>
      <c r="D129" t="s">
        <v>32</v>
      </c>
      <c r="E129" t="s">
        <v>13</v>
      </c>
      <c r="F129" t="s">
        <v>64</v>
      </c>
      <c r="G129">
        <v>-14</v>
      </c>
      <c r="H129" t="s">
        <v>71</v>
      </c>
      <c r="I129">
        <v>0</v>
      </c>
      <c r="J129">
        <v>14</v>
      </c>
      <c r="K129">
        <v>-14</v>
      </c>
      <c r="L129" t="s">
        <v>94</v>
      </c>
    </row>
    <row r="130" spans="1:12" x14ac:dyDescent="0.25">
      <c r="A130" s="21">
        <v>44277</v>
      </c>
      <c r="B130">
        <v>2021</v>
      </c>
      <c r="C130" t="s">
        <v>45</v>
      </c>
      <c r="D130" t="s">
        <v>46</v>
      </c>
      <c r="E130" t="s">
        <v>47</v>
      </c>
      <c r="F130" t="s">
        <v>67</v>
      </c>
      <c r="G130">
        <v>-55</v>
      </c>
      <c r="H130" t="s">
        <v>71</v>
      </c>
      <c r="I130">
        <v>0</v>
      </c>
      <c r="J130">
        <v>55</v>
      </c>
      <c r="K130">
        <v>-55</v>
      </c>
      <c r="L130" t="s">
        <v>94</v>
      </c>
    </row>
    <row r="131" spans="1:12" x14ac:dyDescent="0.25">
      <c r="A131" s="21">
        <v>44277</v>
      </c>
      <c r="B131">
        <v>2021</v>
      </c>
      <c r="C131" t="s">
        <v>25</v>
      </c>
      <c r="D131" t="s">
        <v>48</v>
      </c>
      <c r="E131" t="s">
        <v>20</v>
      </c>
      <c r="F131" t="s">
        <v>68</v>
      </c>
      <c r="G131">
        <v>-65</v>
      </c>
      <c r="H131" t="s">
        <v>74</v>
      </c>
      <c r="I131">
        <v>0</v>
      </c>
      <c r="J131">
        <v>65</v>
      </c>
      <c r="K131">
        <v>-65</v>
      </c>
      <c r="L131" t="s">
        <v>94</v>
      </c>
    </row>
    <row r="132" spans="1:12" x14ac:dyDescent="0.25">
      <c r="A132" s="21">
        <v>44277</v>
      </c>
      <c r="B132">
        <v>2021</v>
      </c>
      <c r="C132" t="s">
        <v>11</v>
      </c>
      <c r="D132" t="s">
        <v>12</v>
      </c>
      <c r="E132" t="s">
        <v>13</v>
      </c>
      <c r="F132" t="s">
        <v>64</v>
      </c>
      <c r="G132">
        <v>-5</v>
      </c>
      <c r="H132" t="s">
        <v>71</v>
      </c>
      <c r="I132">
        <v>0</v>
      </c>
      <c r="J132">
        <v>5</v>
      </c>
      <c r="K132">
        <v>-5</v>
      </c>
      <c r="L132" t="s">
        <v>94</v>
      </c>
    </row>
    <row r="133" spans="1:12" x14ac:dyDescent="0.25">
      <c r="A133" s="21">
        <v>44278</v>
      </c>
      <c r="B133">
        <v>2021</v>
      </c>
      <c r="C133" t="s">
        <v>11</v>
      </c>
      <c r="D133" t="s">
        <v>12</v>
      </c>
      <c r="E133" t="s">
        <v>13</v>
      </c>
      <c r="F133" t="s">
        <v>64</v>
      </c>
      <c r="G133">
        <v>-5</v>
      </c>
      <c r="H133" t="s">
        <v>71</v>
      </c>
      <c r="I133">
        <v>0</v>
      </c>
      <c r="J133">
        <v>5</v>
      </c>
      <c r="K133">
        <v>-5</v>
      </c>
      <c r="L133" t="s">
        <v>94</v>
      </c>
    </row>
    <row r="134" spans="1:12" x14ac:dyDescent="0.25">
      <c r="A134" s="21">
        <v>44279</v>
      </c>
      <c r="B134">
        <v>2021</v>
      </c>
      <c r="C134" t="s">
        <v>11</v>
      </c>
      <c r="D134" t="s">
        <v>12</v>
      </c>
      <c r="E134" t="s">
        <v>13</v>
      </c>
      <c r="F134" t="s">
        <v>64</v>
      </c>
      <c r="G134">
        <v>-5</v>
      </c>
      <c r="H134" t="s">
        <v>71</v>
      </c>
      <c r="I134">
        <v>0</v>
      </c>
      <c r="J134">
        <v>5</v>
      </c>
      <c r="K134">
        <v>-5</v>
      </c>
      <c r="L134" t="s">
        <v>94</v>
      </c>
    </row>
    <row r="135" spans="1:12" x14ac:dyDescent="0.25">
      <c r="A135" s="21">
        <v>44280</v>
      </c>
      <c r="B135">
        <v>2021</v>
      </c>
      <c r="C135" t="s">
        <v>11</v>
      </c>
      <c r="D135" t="s">
        <v>12</v>
      </c>
      <c r="E135" t="s">
        <v>13</v>
      </c>
      <c r="F135" t="s">
        <v>64</v>
      </c>
      <c r="G135">
        <v>-5</v>
      </c>
      <c r="H135" t="s">
        <v>71</v>
      </c>
      <c r="I135">
        <v>0</v>
      </c>
      <c r="J135">
        <v>5</v>
      </c>
      <c r="K135">
        <v>-5</v>
      </c>
      <c r="L135" t="s">
        <v>94</v>
      </c>
    </row>
    <row r="136" spans="1:12" x14ac:dyDescent="0.25">
      <c r="A136" s="21">
        <v>44281</v>
      </c>
      <c r="B136">
        <v>2021</v>
      </c>
      <c r="C136" t="s">
        <v>11</v>
      </c>
      <c r="D136" t="s">
        <v>12</v>
      </c>
      <c r="E136" t="s">
        <v>13</v>
      </c>
      <c r="F136" t="s">
        <v>64</v>
      </c>
      <c r="G136">
        <v>-5</v>
      </c>
      <c r="H136" t="s">
        <v>71</v>
      </c>
      <c r="I136">
        <v>0</v>
      </c>
      <c r="J136">
        <v>5</v>
      </c>
      <c r="K136">
        <v>-5</v>
      </c>
      <c r="L136" t="s">
        <v>94</v>
      </c>
    </row>
    <row r="137" spans="1:12" x14ac:dyDescent="0.25">
      <c r="A137" s="21">
        <v>44281</v>
      </c>
      <c r="B137">
        <v>2021</v>
      </c>
      <c r="C137" t="s">
        <v>21</v>
      </c>
      <c r="D137" t="s">
        <v>22</v>
      </c>
      <c r="E137" t="s">
        <v>17</v>
      </c>
      <c r="F137" t="s">
        <v>64</v>
      </c>
      <c r="G137">
        <v>-209</v>
      </c>
      <c r="H137" t="s">
        <v>71</v>
      </c>
      <c r="I137">
        <v>0</v>
      </c>
      <c r="J137">
        <v>209</v>
      </c>
      <c r="K137">
        <v>-209</v>
      </c>
      <c r="L137" t="s">
        <v>94</v>
      </c>
    </row>
    <row r="138" spans="1:12" x14ac:dyDescent="0.25">
      <c r="A138" s="21">
        <v>44282</v>
      </c>
      <c r="B138">
        <v>2021</v>
      </c>
      <c r="C138" t="s">
        <v>49</v>
      </c>
      <c r="D138" t="s">
        <v>30</v>
      </c>
      <c r="E138" t="s">
        <v>28</v>
      </c>
      <c r="F138" t="s">
        <v>67</v>
      </c>
      <c r="G138">
        <v>-127</v>
      </c>
      <c r="H138" t="s">
        <v>71</v>
      </c>
      <c r="I138">
        <v>0</v>
      </c>
      <c r="J138">
        <v>127</v>
      </c>
      <c r="K138">
        <v>-127</v>
      </c>
      <c r="L138" t="s">
        <v>94</v>
      </c>
    </row>
    <row r="139" spans="1:12" x14ac:dyDescent="0.25">
      <c r="A139" s="21">
        <v>44282</v>
      </c>
      <c r="B139">
        <v>2021</v>
      </c>
      <c r="C139" t="s">
        <v>55</v>
      </c>
      <c r="D139" t="s">
        <v>30</v>
      </c>
      <c r="E139" t="s">
        <v>28</v>
      </c>
      <c r="F139" t="s">
        <v>67</v>
      </c>
      <c r="G139">
        <v>-177.2</v>
      </c>
      <c r="H139" t="s">
        <v>71</v>
      </c>
      <c r="I139">
        <v>0</v>
      </c>
      <c r="J139">
        <v>177.2</v>
      </c>
      <c r="K139">
        <v>-177.2</v>
      </c>
      <c r="L139" t="s">
        <v>94</v>
      </c>
    </row>
    <row r="140" spans="1:12" x14ac:dyDescent="0.25">
      <c r="A140" s="21">
        <v>44283</v>
      </c>
      <c r="B140">
        <v>2021</v>
      </c>
      <c r="C140" t="s">
        <v>29</v>
      </c>
      <c r="D140" t="s">
        <v>30</v>
      </c>
      <c r="E140" t="s">
        <v>28</v>
      </c>
      <c r="F140" t="s">
        <v>67</v>
      </c>
      <c r="G140">
        <v>-147.1</v>
      </c>
      <c r="H140" t="s">
        <v>71</v>
      </c>
      <c r="I140">
        <v>0</v>
      </c>
      <c r="J140">
        <v>147.1</v>
      </c>
      <c r="K140">
        <v>-147.1</v>
      </c>
      <c r="L140" t="s">
        <v>94</v>
      </c>
    </row>
    <row r="141" spans="1:12" x14ac:dyDescent="0.25">
      <c r="A141" s="21">
        <v>44283</v>
      </c>
      <c r="B141">
        <v>2021</v>
      </c>
      <c r="C141" t="s">
        <v>33</v>
      </c>
      <c r="D141" t="s">
        <v>34</v>
      </c>
      <c r="E141" t="s">
        <v>20</v>
      </c>
      <c r="F141" t="s">
        <v>68</v>
      </c>
      <c r="G141">
        <v>-25</v>
      </c>
      <c r="H141" t="s">
        <v>74</v>
      </c>
      <c r="I141">
        <v>0</v>
      </c>
      <c r="J141">
        <v>25</v>
      </c>
      <c r="K141">
        <v>-25</v>
      </c>
      <c r="L141" t="s">
        <v>94</v>
      </c>
    </row>
    <row r="142" spans="1:12" x14ac:dyDescent="0.25">
      <c r="A142" s="21">
        <v>44284</v>
      </c>
      <c r="B142">
        <v>2021</v>
      </c>
      <c r="C142" t="s">
        <v>56</v>
      </c>
      <c r="D142" t="s">
        <v>32</v>
      </c>
      <c r="E142" t="s">
        <v>13</v>
      </c>
      <c r="F142" t="s">
        <v>64</v>
      </c>
      <c r="G142">
        <v>-15</v>
      </c>
      <c r="H142" t="s">
        <v>71</v>
      </c>
      <c r="I142">
        <v>0</v>
      </c>
      <c r="J142">
        <v>15</v>
      </c>
      <c r="K142">
        <v>-15</v>
      </c>
      <c r="L142" t="s">
        <v>94</v>
      </c>
    </row>
    <row r="143" spans="1:12" x14ac:dyDescent="0.25">
      <c r="A143" s="21">
        <v>44285</v>
      </c>
      <c r="B143">
        <v>2021</v>
      </c>
      <c r="C143" t="s">
        <v>11</v>
      </c>
      <c r="D143" t="s">
        <v>12</v>
      </c>
      <c r="E143" t="s">
        <v>13</v>
      </c>
      <c r="F143" t="s">
        <v>64</v>
      </c>
      <c r="G143">
        <v>-5</v>
      </c>
      <c r="H143" t="s">
        <v>71</v>
      </c>
      <c r="I143">
        <v>0</v>
      </c>
      <c r="J143">
        <v>5</v>
      </c>
      <c r="K143">
        <v>-5</v>
      </c>
      <c r="L143" t="s">
        <v>94</v>
      </c>
    </row>
    <row r="144" spans="1:12" x14ac:dyDescent="0.25">
      <c r="A144" s="21">
        <v>44286</v>
      </c>
      <c r="B144">
        <v>2021</v>
      </c>
      <c r="C144" t="s">
        <v>11</v>
      </c>
      <c r="D144" t="s">
        <v>12</v>
      </c>
      <c r="E144" t="s">
        <v>13</v>
      </c>
      <c r="F144" t="s">
        <v>64</v>
      </c>
      <c r="G144">
        <v>-5</v>
      </c>
      <c r="H144" t="s">
        <v>71</v>
      </c>
      <c r="I144">
        <v>0</v>
      </c>
      <c r="J144">
        <v>5</v>
      </c>
      <c r="K144">
        <v>-5</v>
      </c>
      <c r="L144" t="s">
        <v>94</v>
      </c>
    </row>
    <row r="145" spans="1:12" x14ac:dyDescent="0.25">
      <c r="A145" s="21">
        <v>44287</v>
      </c>
      <c r="B145">
        <v>2021</v>
      </c>
      <c r="C145" t="s">
        <v>7</v>
      </c>
      <c r="D145" t="s">
        <v>8</v>
      </c>
      <c r="E145" t="s">
        <v>9</v>
      </c>
      <c r="F145" t="s">
        <v>9</v>
      </c>
      <c r="G145">
        <v>5000</v>
      </c>
      <c r="H145" t="s">
        <v>70</v>
      </c>
      <c r="I145">
        <v>5000</v>
      </c>
      <c r="J145">
        <v>0</v>
      </c>
      <c r="K145">
        <v>5000</v>
      </c>
      <c r="L145" t="s">
        <v>93</v>
      </c>
    </row>
    <row r="146" spans="1:12" x14ac:dyDescent="0.25">
      <c r="A146" s="21">
        <v>44287</v>
      </c>
      <c r="B146">
        <v>2021</v>
      </c>
      <c r="C146" t="s">
        <v>11</v>
      </c>
      <c r="D146" t="s">
        <v>12</v>
      </c>
      <c r="E146" t="s">
        <v>13</v>
      </c>
      <c r="F146" t="s">
        <v>64</v>
      </c>
      <c r="G146">
        <v>-5</v>
      </c>
      <c r="H146" t="s">
        <v>71</v>
      </c>
      <c r="I146">
        <v>0</v>
      </c>
      <c r="J146">
        <v>5</v>
      </c>
      <c r="K146">
        <v>-5</v>
      </c>
      <c r="L146" t="s">
        <v>94</v>
      </c>
    </row>
    <row r="147" spans="1:12" x14ac:dyDescent="0.25">
      <c r="A147" s="21">
        <v>44288</v>
      </c>
      <c r="B147">
        <v>2021</v>
      </c>
      <c r="C147" t="s">
        <v>15</v>
      </c>
      <c r="D147" t="s">
        <v>16</v>
      </c>
      <c r="E147" t="s">
        <v>17</v>
      </c>
      <c r="F147" t="s">
        <v>65</v>
      </c>
      <c r="G147">
        <v>-900</v>
      </c>
      <c r="H147" t="s">
        <v>72</v>
      </c>
      <c r="I147">
        <v>0</v>
      </c>
      <c r="J147">
        <v>900</v>
      </c>
      <c r="K147">
        <v>-900</v>
      </c>
      <c r="L147" t="s">
        <v>94</v>
      </c>
    </row>
    <row r="148" spans="1:12" x14ac:dyDescent="0.25">
      <c r="A148" s="21">
        <v>44288</v>
      </c>
      <c r="B148">
        <v>2021</v>
      </c>
      <c r="C148" t="s">
        <v>18</v>
      </c>
      <c r="D148" t="s">
        <v>19</v>
      </c>
      <c r="E148" t="s">
        <v>20</v>
      </c>
      <c r="F148" t="s">
        <v>66</v>
      </c>
      <c r="G148">
        <v>-150</v>
      </c>
      <c r="H148" t="s">
        <v>73</v>
      </c>
      <c r="I148">
        <v>0</v>
      </c>
      <c r="J148">
        <v>150</v>
      </c>
      <c r="K148">
        <v>-150</v>
      </c>
      <c r="L148" t="s">
        <v>94</v>
      </c>
    </row>
    <row r="149" spans="1:12" x14ac:dyDescent="0.25">
      <c r="A149" s="21">
        <v>44288</v>
      </c>
      <c r="B149">
        <v>2021</v>
      </c>
      <c r="C149" t="s">
        <v>11</v>
      </c>
      <c r="D149" t="s">
        <v>12</v>
      </c>
      <c r="E149" t="s">
        <v>13</v>
      </c>
      <c r="F149" t="s">
        <v>64</v>
      </c>
      <c r="G149">
        <v>-5</v>
      </c>
      <c r="H149" t="s">
        <v>71</v>
      </c>
      <c r="I149">
        <v>0</v>
      </c>
      <c r="J149">
        <v>5</v>
      </c>
      <c r="K149">
        <v>-5</v>
      </c>
      <c r="L149" t="s">
        <v>94</v>
      </c>
    </row>
    <row r="150" spans="1:12" x14ac:dyDescent="0.25">
      <c r="A150" s="21">
        <v>44289</v>
      </c>
      <c r="B150">
        <v>2021</v>
      </c>
      <c r="C150" t="s">
        <v>11</v>
      </c>
      <c r="D150" t="s">
        <v>12</v>
      </c>
      <c r="E150" t="s">
        <v>13</v>
      </c>
      <c r="F150" t="s">
        <v>64</v>
      </c>
      <c r="G150">
        <v>-5</v>
      </c>
      <c r="H150" t="s">
        <v>71</v>
      </c>
      <c r="I150">
        <v>0</v>
      </c>
      <c r="J150">
        <v>5</v>
      </c>
      <c r="K150">
        <v>-5</v>
      </c>
      <c r="L150" t="s">
        <v>94</v>
      </c>
    </row>
    <row r="151" spans="1:12" x14ac:dyDescent="0.25">
      <c r="A151" s="21">
        <v>44290</v>
      </c>
      <c r="B151">
        <v>2021</v>
      </c>
      <c r="C151" t="s">
        <v>11</v>
      </c>
      <c r="D151" t="s">
        <v>12</v>
      </c>
      <c r="E151" t="s">
        <v>13</v>
      </c>
      <c r="F151" t="s">
        <v>64</v>
      </c>
      <c r="G151">
        <v>-5</v>
      </c>
      <c r="H151" t="s">
        <v>71</v>
      </c>
      <c r="I151">
        <v>0</v>
      </c>
      <c r="J151">
        <v>5</v>
      </c>
      <c r="K151">
        <v>-5</v>
      </c>
      <c r="L151" t="s">
        <v>94</v>
      </c>
    </row>
    <row r="152" spans="1:12" x14ac:dyDescent="0.25">
      <c r="A152" s="21">
        <v>44291</v>
      </c>
      <c r="B152">
        <v>2021</v>
      </c>
      <c r="C152" t="s">
        <v>11</v>
      </c>
      <c r="D152" t="s">
        <v>12</v>
      </c>
      <c r="E152" t="s">
        <v>13</v>
      </c>
      <c r="F152" t="s">
        <v>64</v>
      </c>
      <c r="G152">
        <v>-5</v>
      </c>
      <c r="H152" t="s">
        <v>71</v>
      </c>
      <c r="I152">
        <v>0</v>
      </c>
      <c r="J152">
        <v>5</v>
      </c>
      <c r="K152">
        <v>-5</v>
      </c>
      <c r="L152" t="s">
        <v>94</v>
      </c>
    </row>
    <row r="153" spans="1:12" x14ac:dyDescent="0.25">
      <c r="A153" s="21">
        <v>44291</v>
      </c>
      <c r="B153">
        <v>2021</v>
      </c>
      <c r="C153" t="s">
        <v>21</v>
      </c>
      <c r="D153" t="s">
        <v>22</v>
      </c>
      <c r="E153" t="s">
        <v>17</v>
      </c>
      <c r="F153" t="s">
        <v>64</v>
      </c>
      <c r="G153">
        <v>-158.19999999999999</v>
      </c>
      <c r="H153" t="s">
        <v>71</v>
      </c>
      <c r="I153">
        <v>0</v>
      </c>
      <c r="J153">
        <v>158.19999999999999</v>
      </c>
      <c r="K153">
        <v>-158.19999999999999</v>
      </c>
      <c r="L153" t="s">
        <v>94</v>
      </c>
    </row>
    <row r="154" spans="1:12" x14ac:dyDescent="0.25">
      <c r="A154" s="21">
        <v>44294</v>
      </c>
      <c r="B154">
        <v>2021</v>
      </c>
      <c r="C154" t="s">
        <v>23</v>
      </c>
      <c r="D154" t="s">
        <v>24</v>
      </c>
      <c r="E154" t="s">
        <v>17</v>
      </c>
      <c r="F154" t="s">
        <v>64</v>
      </c>
      <c r="G154">
        <v>-53.2</v>
      </c>
      <c r="H154" t="s">
        <v>71</v>
      </c>
      <c r="I154">
        <v>0</v>
      </c>
      <c r="J154">
        <v>53.2</v>
      </c>
      <c r="K154">
        <v>-53.2</v>
      </c>
      <c r="L154" t="s">
        <v>94</v>
      </c>
    </row>
    <row r="155" spans="1:12" x14ac:dyDescent="0.25">
      <c r="A155" s="21">
        <v>44294</v>
      </c>
      <c r="B155">
        <v>2021</v>
      </c>
      <c r="C155" t="s">
        <v>11</v>
      </c>
      <c r="D155" t="s">
        <v>12</v>
      </c>
      <c r="E155" t="s">
        <v>13</v>
      </c>
      <c r="F155" t="s">
        <v>64</v>
      </c>
      <c r="G155">
        <v>-5</v>
      </c>
      <c r="H155" t="s">
        <v>71</v>
      </c>
      <c r="I155">
        <v>0</v>
      </c>
      <c r="J155">
        <v>5</v>
      </c>
      <c r="K155">
        <v>-5</v>
      </c>
      <c r="L155" t="s">
        <v>94</v>
      </c>
    </row>
    <row r="156" spans="1:12" x14ac:dyDescent="0.25">
      <c r="A156" s="21">
        <v>44295</v>
      </c>
      <c r="B156">
        <v>2021</v>
      </c>
      <c r="C156" t="s">
        <v>11</v>
      </c>
      <c r="D156" t="s">
        <v>12</v>
      </c>
      <c r="E156" t="s">
        <v>13</v>
      </c>
      <c r="F156" t="s">
        <v>64</v>
      </c>
      <c r="G156">
        <v>-5</v>
      </c>
      <c r="H156" t="s">
        <v>71</v>
      </c>
      <c r="I156">
        <v>0</v>
      </c>
      <c r="J156">
        <v>5</v>
      </c>
      <c r="K156">
        <v>-5</v>
      </c>
      <c r="L156" t="s">
        <v>94</v>
      </c>
    </row>
    <row r="157" spans="1:12" x14ac:dyDescent="0.25">
      <c r="A157" s="21">
        <v>44296</v>
      </c>
      <c r="B157">
        <v>2021</v>
      </c>
      <c r="C157" t="s">
        <v>25</v>
      </c>
      <c r="D157" t="s">
        <v>48</v>
      </c>
      <c r="E157" t="s">
        <v>20</v>
      </c>
      <c r="F157" t="s">
        <v>68</v>
      </c>
      <c r="G157">
        <v>-79.900000000000006</v>
      </c>
      <c r="H157" t="s">
        <v>74</v>
      </c>
      <c r="I157">
        <v>0</v>
      </c>
      <c r="J157">
        <v>79.900000000000006</v>
      </c>
      <c r="K157">
        <v>-79.900000000000006</v>
      </c>
      <c r="L157" t="s">
        <v>94</v>
      </c>
    </row>
    <row r="158" spans="1:12" x14ac:dyDescent="0.25">
      <c r="A158" s="21">
        <v>44296</v>
      </c>
      <c r="B158">
        <v>2021</v>
      </c>
      <c r="C158" t="s">
        <v>11</v>
      </c>
      <c r="D158" t="s">
        <v>12</v>
      </c>
      <c r="E158" t="s">
        <v>13</v>
      </c>
      <c r="F158" t="s">
        <v>64</v>
      </c>
      <c r="G158">
        <v>-5</v>
      </c>
      <c r="H158" t="s">
        <v>71</v>
      </c>
      <c r="I158">
        <v>0</v>
      </c>
      <c r="J158">
        <v>5</v>
      </c>
      <c r="K158">
        <v>-5</v>
      </c>
      <c r="L158" t="s">
        <v>94</v>
      </c>
    </row>
    <row r="159" spans="1:12" x14ac:dyDescent="0.25">
      <c r="A159" s="21">
        <v>44297</v>
      </c>
      <c r="B159">
        <v>2021</v>
      </c>
      <c r="C159" t="s">
        <v>11</v>
      </c>
      <c r="D159" t="s">
        <v>12</v>
      </c>
      <c r="E159" t="s">
        <v>13</v>
      </c>
      <c r="F159" t="s">
        <v>64</v>
      </c>
      <c r="G159">
        <v>-5</v>
      </c>
      <c r="H159" t="s">
        <v>71</v>
      </c>
      <c r="I159">
        <v>0</v>
      </c>
      <c r="J159">
        <v>5</v>
      </c>
      <c r="K159">
        <v>-5</v>
      </c>
      <c r="L159" t="s">
        <v>94</v>
      </c>
    </row>
    <row r="160" spans="1:12" x14ac:dyDescent="0.25">
      <c r="A160" s="21">
        <v>44298</v>
      </c>
      <c r="B160">
        <v>2021</v>
      </c>
      <c r="C160" t="s">
        <v>21</v>
      </c>
      <c r="D160" t="s">
        <v>22</v>
      </c>
      <c r="E160" t="s">
        <v>17</v>
      </c>
      <c r="F160" t="s">
        <v>64</v>
      </c>
      <c r="G160">
        <v>-98</v>
      </c>
      <c r="H160" t="s">
        <v>71</v>
      </c>
      <c r="I160">
        <v>0</v>
      </c>
      <c r="J160">
        <v>98</v>
      </c>
      <c r="K160">
        <v>-98</v>
      </c>
      <c r="L160" t="s">
        <v>94</v>
      </c>
    </row>
    <row r="161" spans="1:12" x14ac:dyDescent="0.25">
      <c r="A161" s="21">
        <v>44298</v>
      </c>
      <c r="B161">
        <v>2021</v>
      </c>
      <c r="C161" t="s">
        <v>11</v>
      </c>
      <c r="D161" t="s">
        <v>12</v>
      </c>
      <c r="E161" t="s">
        <v>13</v>
      </c>
      <c r="F161" t="s">
        <v>64</v>
      </c>
      <c r="G161">
        <v>-5</v>
      </c>
      <c r="H161" t="s">
        <v>71</v>
      </c>
      <c r="I161">
        <v>0</v>
      </c>
      <c r="J161">
        <v>5</v>
      </c>
      <c r="K161">
        <v>-5</v>
      </c>
      <c r="L161" t="s">
        <v>94</v>
      </c>
    </row>
    <row r="162" spans="1:12" x14ac:dyDescent="0.25">
      <c r="A162" s="21">
        <v>44299</v>
      </c>
      <c r="B162">
        <v>2021</v>
      </c>
      <c r="C162" t="s">
        <v>11</v>
      </c>
      <c r="D162" t="s">
        <v>12</v>
      </c>
      <c r="E162" t="s">
        <v>13</v>
      </c>
      <c r="F162" t="s">
        <v>64</v>
      </c>
      <c r="G162">
        <v>-5</v>
      </c>
      <c r="H162" t="s">
        <v>71</v>
      </c>
      <c r="I162">
        <v>0</v>
      </c>
      <c r="J162">
        <v>5</v>
      </c>
      <c r="K162">
        <v>-5</v>
      </c>
      <c r="L162" t="s">
        <v>94</v>
      </c>
    </row>
    <row r="163" spans="1:12" x14ac:dyDescent="0.25">
      <c r="A163" s="21">
        <v>44299</v>
      </c>
      <c r="B163">
        <v>2021</v>
      </c>
      <c r="C163" t="s">
        <v>26</v>
      </c>
      <c r="D163" t="s">
        <v>27</v>
      </c>
      <c r="E163" t="s">
        <v>28</v>
      </c>
      <c r="F163" t="s">
        <v>27</v>
      </c>
      <c r="G163">
        <v>-42.8</v>
      </c>
      <c r="H163" t="s">
        <v>74</v>
      </c>
      <c r="I163">
        <v>0</v>
      </c>
      <c r="J163">
        <v>42.8</v>
      </c>
      <c r="K163">
        <v>-42.8</v>
      </c>
      <c r="L163" t="s">
        <v>94</v>
      </c>
    </row>
    <row r="164" spans="1:12" x14ac:dyDescent="0.25">
      <c r="A164" s="21">
        <v>44299</v>
      </c>
      <c r="B164">
        <v>2021</v>
      </c>
      <c r="C164" t="s">
        <v>29</v>
      </c>
      <c r="D164" t="s">
        <v>30</v>
      </c>
      <c r="E164" t="s">
        <v>28</v>
      </c>
      <c r="F164" t="s">
        <v>67</v>
      </c>
      <c r="G164">
        <v>-100.9</v>
      </c>
      <c r="H164" t="s">
        <v>71</v>
      </c>
      <c r="I164">
        <v>0</v>
      </c>
      <c r="J164">
        <v>100.9</v>
      </c>
      <c r="K164">
        <v>-100.9</v>
      </c>
      <c r="L164" t="s">
        <v>94</v>
      </c>
    </row>
    <row r="165" spans="1:12" x14ac:dyDescent="0.25">
      <c r="A165" s="21">
        <v>44299</v>
      </c>
      <c r="B165">
        <v>2021</v>
      </c>
      <c r="C165" t="s">
        <v>31</v>
      </c>
      <c r="D165" t="s">
        <v>32</v>
      </c>
      <c r="E165" t="s">
        <v>13</v>
      </c>
      <c r="F165" t="s">
        <v>64</v>
      </c>
      <c r="G165">
        <v>-54.9</v>
      </c>
      <c r="H165" t="s">
        <v>71</v>
      </c>
      <c r="I165">
        <v>0</v>
      </c>
      <c r="J165">
        <v>54.9</v>
      </c>
      <c r="K165">
        <v>-54.9</v>
      </c>
      <c r="L165" t="s">
        <v>94</v>
      </c>
    </row>
    <row r="166" spans="1:12" x14ac:dyDescent="0.25">
      <c r="A166" s="21">
        <v>44300</v>
      </c>
      <c r="B166">
        <v>2021</v>
      </c>
      <c r="C166" t="s">
        <v>33</v>
      </c>
      <c r="D166" t="s">
        <v>34</v>
      </c>
      <c r="E166" t="s">
        <v>20</v>
      </c>
      <c r="F166" t="s">
        <v>68</v>
      </c>
      <c r="G166">
        <v>-31</v>
      </c>
      <c r="H166" t="s">
        <v>74</v>
      </c>
      <c r="I166">
        <v>0</v>
      </c>
      <c r="J166">
        <v>31</v>
      </c>
      <c r="K166">
        <v>-31</v>
      </c>
      <c r="L166" t="s">
        <v>94</v>
      </c>
    </row>
    <row r="167" spans="1:12" x14ac:dyDescent="0.25">
      <c r="A167" s="21">
        <v>44301</v>
      </c>
      <c r="B167">
        <v>2021</v>
      </c>
      <c r="C167" t="s">
        <v>35</v>
      </c>
      <c r="D167" t="s">
        <v>36</v>
      </c>
      <c r="E167" t="s">
        <v>37</v>
      </c>
      <c r="F167" t="s">
        <v>37</v>
      </c>
      <c r="G167">
        <v>2340</v>
      </c>
      <c r="H167" t="s">
        <v>70</v>
      </c>
      <c r="I167">
        <v>2340</v>
      </c>
      <c r="J167">
        <v>0</v>
      </c>
      <c r="K167">
        <v>2340</v>
      </c>
      <c r="L167" t="s">
        <v>93</v>
      </c>
    </row>
    <row r="168" spans="1:12" x14ac:dyDescent="0.25">
      <c r="A168" s="21">
        <v>44301</v>
      </c>
      <c r="B168">
        <v>2021</v>
      </c>
      <c r="C168" t="s">
        <v>11</v>
      </c>
      <c r="D168" t="s">
        <v>12</v>
      </c>
      <c r="E168" t="s">
        <v>13</v>
      </c>
      <c r="F168" t="s">
        <v>64</v>
      </c>
      <c r="G168">
        <v>-5</v>
      </c>
      <c r="H168" t="s">
        <v>71</v>
      </c>
      <c r="I168">
        <v>0</v>
      </c>
      <c r="J168">
        <v>5</v>
      </c>
      <c r="K168">
        <v>-5</v>
      </c>
      <c r="L168" t="s">
        <v>94</v>
      </c>
    </row>
    <row r="169" spans="1:12" x14ac:dyDescent="0.25">
      <c r="A169" s="21">
        <v>44302</v>
      </c>
      <c r="B169">
        <v>2021</v>
      </c>
      <c r="C169" t="s">
        <v>11</v>
      </c>
      <c r="D169" t="s">
        <v>12</v>
      </c>
      <c r="E169" t="s">
        <v>13</v>
      </c>
      <c r="F169" t="s">
        <v>64</v>
      </c>
      <c r="G169">
        <v>-5</v>
      </c>
      <c r="H169" t="s">
        <v>71</v>
      </c>
      <c r="I169">
        <v>0</v>
      </c>
      <c r="J169">
        <v>5</v>
      </c>
      <c r="K169">
        <v>-5</v>
      </c>
      <c r="L169" t="s">
        <v>94</v>
      </c>
    </row>
    <row r="170" spans="1:12" x14ac:dyDescent="0.25">
      <c r="A170" s="21">
        <v>44302</v>
      </c>
      <c r="B170">
        <v>2021</v>
      </c>
      <c r="C170" t="s">
        <v>39</v>
      </c>
      <c r="D170" t="s">
        <v>39</v>
      </c>
      <c r="E170" t="s">
        <v>17</v>
      </c>
      <c r="F170" t="s">
        <v>69</v>
      </c>
      <c r="G170">
        <v>-40</v>
      </c>
      <c r="H170" t="s">
        <v>72</v>
      </c>
      <c r="I170">
        <v>0</v>
      </c>
      <c r="J170">
        <v>40</v>
      </c>
      <c r="K170">
        <v>-40</v>
      </c>
      <c r="L170" t="s">
        <v>94</v>
      </c>
    </row>
    <row r="171" spans="1:12" x14ac:dyDescent="0.25">
      <c r="A171" s="21">
        <v>44303</v>
      </c>
      <c r="B171">
        <v>2021</v>
      </c>
      <c r="C171" t="s">
        <v>40</v>
      </c>
      <c r="D171" t="s">
        <v>41</v>
      </c>
      <c r="E171" t="s">
        <v>28</v>
      </c>
      <c r="F171" t="s">
        <v>67</v>
      </c>
      <c r="G171">
        <v>-47.9</v>
      </c>
      <c r="H171" t="s">
        <v>71</v>
      </c>
      <c r="I171">
        <v>0</v>
      </c>
      <c r="J171">
        <v>47.9</v>
      </c>
      <c r="K171">
        <v>-47.9</v>
      </c>
      <c r="L171" t="s">
        <v>94</v>
      </c>
    </row>
    <row r="172" spans="1:12" x14ac:dyDescent="0.25">
      <c r="A172" s="21">
        <v>44303</v>
      </c>
      <c r="B172">
        <v>2021</v>
      </c>
      <c r="C172" t="s">
        <v>42</v>
      </c>
      <c r="D172" t="s">
        <v>27</v>
      </c>
      <c r="E172" t="s">
        <v>28</v>
      </c>
      <c r="F172" t="s">
        <v>27</v>
      </c>
      <c r="G172">
        <v>-35</v>
      </c>
      <c r="H172" t="s">
        <v>74</v>
      </c>
      <c r="I172">
        <v>0</v>
      </c>
      <c r="J172">
        <v>35</v>
      </c>
      <c r="K172">
        <v>-35</v>
      </c>
      <c r="L172" t="s">
        <v>94</v>
      </c>
    </row>
    <row r="173" spans="1:12" x14ac:dyDescent="0.25">
      <c r="A173" s="21">
        <v>44303</v>
      </c>
      <c r="B173">
        <v>2021</v>
      </c>
      <c r="C173" t="s">
        <v>11</v>
      </c>
      <c r="D173" t="s">
        <v>12</v>
      </c>
      <c r="E173" t="s">
        <v>13</v>
      </c>
      <c r="F173" t="s">
        <v>64</v>
      </c>
      <c r="G173">
        <v>-5</v>
      </c>
      <c r="H173" t="s">
        <v>71</v>
      </c>
      <c r="I173">
        <v>0</v>
      </c>
      <c r="J173">
        <v>5</v>
      </c>
      <c r="K173">
        <v>-5</v>
      </c>
      <c r="L173" t="s">
        <v>94</v>
      </c>
    </row>
    <row r="174" spans="1:12" x14ac:dyDescent="0.25">
      <c r="A174" s="21">
        <v>44304</v>
      </c>
      <c r="B174">
        <v>2021</v>
      </c>
      <c r="C174" t="s">
        <v>11</v>
      </c>
      <c r="D174" t="s">
        <v>12</v>
      </c>
      <c r="E174" t="s">
        <v>13</v>
      </c>
      <c r="F174" t="s">
        <v>64</v>
      </c>
      <c r="G174">
        <v>-5</v>
      </c>
      <c r="H174" t="s">
        <v>71</v>
      </c>
      <c r="I174">
        <v>0</v>
      </c>
      <c r="J174">
        <v>5</v>
      </c>
      <c r="K174">
        <v>-5</v>
      </c>
      <c r="L174" t="s">
        <v>94</v>
      </c>
    </row>
    <row r="175" spans="1:12" x14ac:dyDescent="0.25">
      <c r="A175" s="21">
        <v>44305</v>
      </c>
      <c r="B175">
        <v>2021</v>
      </c>
      <c r="C175" t="s">
        <v>11</v>
      </c>
      <c r="D175" t="s">
        <v>12</v>
      </c>
      <c r="E175" t="s">
        <v>13</v>
      </c>
      <c r="F175" t="s">
        <v>64</v>
      </c>
      <c r="G175">
        <v>-5</v>
      </c>
      <c r="H175" t="s">
        <v>71</v>
      </c>
      <c r="I175">
        <v>0</v>
      </c>
      <c r="J175">
        <v>5</v>
      </c>
      <c r="K175">
        <v>-5</v>
      </c>
      <c r="L175" t="s">
        <v>94</v>
      </c>
    </row>
    <row r="176" spans="1:12" x14ac:dyDescent="0.25">
      <c r="A176" s="21">
        <v>44305</v>
      </c>
      <c r="B176">
        <v>2021</v>
      </c>
      <c r="C176" t="s">
        <v>21</v>
      </c>
      <c r="D176" t="s">
        <v>22</v>
      </c>
      <c r="E176" t="s">
        <v>17</v>
      </c>
      <c r="F176" t="s">
        <v>64</v>
      </c>
      <c r="G176">
        <v>-173</v>
      </c>
      <c r="H176" t="s">
        <v>71</v>
      </c>
      <c r="I176">
        <v>0</v>
      </c>
      <c r="J176">
        <v>173</v>
      </c>
      <c r="K176">
        <v>-173</v>
      </c>
      <c r="L176" t="s">
        <v>94</v>
      </c>
    </row>
    <row r="177" spans="1:12" x14ac:dyDescent="0.25">
      <c r="A177" s="21">
        <v>44306</v>
      </c>
      <c r="B177">
        <v>2021</v>
      </c>
      <c r="C177" t="s">
        <v>43</v>
      </c>
      <c r="D177" t="s">
        <v>32</v>
      </c>
      <c r="E177" t="s">
        <v>13</v>
      </c>
      <c r="F177" t="s">
        <v>64</v>
      </c>
      <c r="G177">
        <v>-40.1</v>
      </c>
      <c r="H177" t="s">
        <v>71</v>
      </c>
      <c r="I177">
        <v>0</v>
      </c>
      <c r="J177">
        <v>40.1</v>
      </c>
      <c r="K177">
        <v>-40.1</v>
      </c>
      <c r="L177" t="s">
        <v>94</v>
      </c>
    </row>
    <row r="178" spans="1:12" x14ac:dyDescent="0.25">
      <c r="A178" s="21">
        <v>44307</v>
      </c>
      <c r="B178">
        <v>2021</v>
      </c>
      <c r="C178" t="s">
        <v>44</v>
      </c>
      <c r="D178" t="s">
        <v>32</v>
      </c>
      <c r="E178" t="s">
        <v>13</v>
      </c>
      <c r="F178" t="s">
        <v>64</v>
      </c>
      <c r="G178">
        <v>-15.1</v>
      </c>
      <c r="H178" t="s">
        <v>71</v>
      </c>
      <c r="I178">
        <v>0</v>
      </c>
      <c r="J178">
        <v>15.1</v>
      </c>
      <c r="K178">
        <v>-15.1</v>
      </c>
      <c r="L178" t="s">
        <v>94</v>
      </c>
    </row>
    <row r="179" spans="1:12" x14ac:dyDescent="0.25">
      <c r="A179" s="21">
        <v>44308</v>
      </c>
      <c r="B179">
        <v>2021</v>
      </c>
      <c r="C179" t="s">
        <v>45</v>
      </c>
      <c r="D179" t="s">
        <v>46</v>
      </c>
      <c r="E179" t="s">
        <v>47</v>
      </c>
      <c r="F179" t="s">
        <v>67</v>
      </c>
      <c r="G179">
        <v>-55</v>
      </c>
      <c r="H179" t="s">
        <v>71</v>
      </c>
      <c r="I179">
        <v>0</v>
      </c>
      <c r="J179">
        <v>55</v>
      </c>
      <c r="K179">
        <v>-55</v>
      </c>
      <c r="L179" t="s">
        <v>94</v>
      </c>
    </row>
    <row r="180" spans="1:12" x14ac:dyDescent="0.25">
      <c r="A180" s="21">
        <v>44308</v>
      </c>
      <c r="B180">
        <v>2021</v>
      </c>
      <c r="C180" t="s">
        <v>25</v>
      </c>
      <c r="D180" t="s">
        <v>48</v>
      </c>
      <c r="E180" t="s">
        <v>20</v>
      </c>
      <c r="F180" t="s">
        <v>68</v>
      </c>
      <c r="G180">
        <v>-66</v>
      </c>
      <c r="H180" t="s">
        <v>74</v>
      </c>
      <c r="I180">
        <v>0</v>
      </c>
      <c r="J180">
        <v>66</v>
      </c>
      <c r="K180">
        <v>-66</v>
      </c>
      <c r="L180" t="s">
        <v>94</v>
      </c>
    </row>
    <row r="181" spans="1:12" x14ac:dyDescent="0.25">
      <c r="A181" s="21">
        <v>44308</v>
      </c>
      <c r="B181">
        <v>2021</v>
      </c>
      <c r="C181" t="s">
        <v>11</v>
      </c>
      <c r="D181" t="s">
        <v>12</v>
      </c>
      <c r="E181" t="s">
        <v>13</v>
      </c>
      <c r="F181" t="s">
        <v>64</v>
      </c>
      <c r="G181">
        <v>-5</v>
      </c>
      <c r="H181" t="s">
        <v>71</v>
      </c>
      <c r="I181">
        <v>0</v>
      </c>
      <c r="J181">
        <v>5</v>
      </c>
      <c r="K181">
        <v>-5</v>
      </c>
      <c r="L181" t="s">
        <v>94</v>
      </c>
    </row>
    <row r="182" spans="1:12" x14ac:dyDescent="0.25">
      <c r="A182" s="21">
        <v>44309</v>
      </c>
      <c r="B182">
        <v>2021</v>
      </c>
      <c r="C182" t="s">
        <v>11</v>
      </c>
      <c r="D182" t="s">
        <v>12</v>
      </c>
      <c r="E182" t="s">
        <v>13</v>
      </c>
      <c r="F182" t="s">
        <v>64</v>
      </c>
      <c r="G182">
        <v>-5</v>
      </c>
      <c r="H182" t="s">
        <v>71</v>
      </c>
      <c r="I182">
        <v>0</v>
      </c>
      <c r="J182">
        <v>5</v>
      </c>
      <c r="K182">
        <v>-5</v>
      </c>
      <c r="L182" t="s">
        <v>94</v>
      </c>
    </row>
    <row r="183" spans="1:12" x14ac:dyDescent="0.25">
      <c r="A183" s="21">
        <v>44310</v>
      </c>
      <c r="B183">
        <v>2021</v>
      </c>
      <c r="C183" t="s">
        <v>11</v>
      </c>
      <c r="D183" t="s">
        <v>12</v>
      </c>
      <c r="E183" t="s">
        <v>13</v>
      </c>
      <c r="F183" t="s">
        <v>64</v>
      </c>
      <c r="G183">
        <v>-5</v>
      </c>
      <c r="H183" t="s">
        <v>71</v>
      </c>
      <c r="I183">
        <v>0</v>
      </c>
      <c r="J183">
        <v>5</v>
      </c>
      <c r="K183">
        <v>-5</v>
      </c>
      <c r="L183" t="s">
        <v>94</v>
      </c>
    </row>
    <row r="184" spans="1:12" x14ac:dyDescent="0.25">
      <c r="A184" s="21">
        <v>44311</v>
      </c>
      <c r="B184">
        <v>2021</v>
      </c>
      <c r="C184" t="s">
        <v>11</v>
      </c>
      <c r="D184" t="s">
        <v>12</v>
      </c>
      <c r="E184" t="s">
        <v>13</v>
      </c>
      <c r="F184" t="s">
        <v>64</v>
      </c>
      <c r="G184">
        <v>-5</v>
      </c>
      <c r="H184" t="s">
        <v>71</v>
      </c>
      <c r="I184">
        <v>0</v>
      </c>
      <c r="J184">
        <v>5</v>
      </c>
      <c r="K184">
        <v>-5</v>
      </c>
      <c r="L184" t="s">
        <v>94</v>
      </c>
    </row>
    <row r="185" spans="1:12" x14ac:dyDescent="0.25">
      <c r="A185" s="21">
        <v>44312</v>
      </c>
      <c r="B185">
        <v>2021</v>
      </c>
      <c r="C185" t="s">
        <v>11</v>
      </c>
      <c r="D185" t="s">
        <v>12</v>
      </c>
      <c r="E185" t="s">
        <v>13</v>
      </c>
      <c r="F185" t="s">
        <v>64</v>
      </c>
      <c r="G185">
        <v>-5</v>
      </c>
      <c r="H185" t="s">
        <v>71</v>
      </c>
      <c r="I185">
        <v>0</v>
      </c>
      <c r="J185">
        <v>5</v>
      </c>
      <c r="K185">
        <v>-5</v>
      </c>
      <c r="L185" t="s">
        <v>94</v>
      </c>
    </row>
    <row r="186" spans="1:12" x14ac:dyDescent="0.25">
      <c r="A186" s="21">
        <v>44312</v>
      </c>
      <c r="B186">
        <v>2021</v>
      </c>
      <c r="C186" t="s">
        <v>21</v>
      </c>
      <c r="D186" t="s">
        <v>22</v>
      </c>
      <c r="E186" t="s">
        <v>17</v>
      </c>
      <c r="F186" t="s">
        <v>64</v>
      </c>
      <c r="G186">
        <v>-164.9</v>
      </c>
      <c r="H186" t="s">
        <v>71</v>
      </c>
      <c r="I186">
        <v>0</v>
      </c>
      <c r="J186">
        <v>164.9</v>
      </c>
      <c r="K186">
        <v>-164.9</v>
      </c>
      <c r="L186" t="s">
        <v>94</v>
      </c>
    </row>
    <row r="187" spans="1:12" x14ac:dyDescent="0.25">
      <c r="A187" s="21">
        <v>44313</v>
      </c>
      <c r="B187">
        <v>2021</v>
      </c>
      <c r="C187" t="s">
        <v>49</v>
      </c>
      <c r="D187" t="s">
        <v>30</v>
      </c>
      <c r="E187" t="s">
        <v>28</v>
      </c>
      <c r="F187" t="s">
        <v>67</v>
      </c>
      <c r="G187">
        <v>-127.9</v>
      </c>
      <c r="H187" t="s">
        <v>71</v>
      </c>
      <c r="I187">
        <v>0</v>
      </c>
      <c r="J187">
        <v>127.9</v>
      </c>
      <c r="K187">
        <v>-127.9</v>
      </c>
      <c r="L187" t="s">
        <v>94</v>
      </c>
    </row>
    <row r="188" spans="1:12" x14ac:dyDescent="0.25">
      <c r="A188" s="21">
        <v>44313</v>
      </c>
      <c r="B188">
        <v>2021</v>
      </c>
      <c r="C188" t="s">
        <v>57</v>
      </c>
      <c r="D188" t="s">
        <v>27</v>
      </c>
      <c r="E188" t="s">
        <v>28</v>
      </c>
      <c r="F188" t="s">
        <v>27</v>
      </c>
      <c r="G188">
        <v>-300</v>
      </c>
      <c r="H188" t="s">
        <v>74</v>
      </c>
      <c r="I188">
        <v>0</v>
      </c>
      <c r="J188">
        <v>300</v>
      </c>
      <c r="K188">
        <v>-300</v>
      </c>
      <c r="L188" t="s">
        <v>94</v>
      </c>
    </row>
    <row r="189" spans="1:12" x14ac:dyDescent="0.25">
      <c r="A189" s="21">
        <v>44314</v>
      </c>
      <c r="B189">
        <v>2021</v>
      </c>
      <c r="C189" t="s">
        <v>29</v>
      </c>
      <c r="D189" t="s">
        <v>30</v>
      </c>
      <c r="E189" t="s">
        <v>28</v>
      </c>
      <c r="F189" t="s">
        <v>67</v>
      </c>
      <c r="G189">
        <v>-148.1</v>
      </c>
      <c r="H189" t="s">
        <v>71</v>
      </c>
      <c r="I189">
        <v>0</v>
      </c>
      <c r="J189">
        <v>148.1</v>
      </c>
      <c r="K189">
        <v>-148.1</v>
      </c>
      <c r="L189" t="s">
        <v>94</v>
      </c>
    </row>
    <row r="190" spans="1:12" x14ac:dyDescent="0.25">
      <c r="A190" s="21">
        <v>44314</v>
      </c>
      <c r="B190">
        <v>2021</v>
      </c>
      <c r="C190" t="s">
        <v>33</v>
      </c>
      <c r="D190" t="s">
        <v>34</v>
      </c>
      <c r="E190" t="s">
        <v>20</v>
      </c>
      <c r="F190" t="s">
        <v>68</v>
      </c>
      <c r="G190">
        <v>-26.1</v>
      </c>
      <c r="H190" t="s">
        <v>74</v>
      </c>
      <c r="I190">
        <v>0</v>
      </c>
      <c r="J190">
        <v>26.1</v>
      </c>
      <c r="K190">
        <v>-26.1</v>
      </c>
      <c r="L190" t="s">
        <v>94</v>
      </c>
    </row>
    <row r="191" spans="1:12" x14ac:dyDescent="0.25">
      <c r="A191" s="21">
        <v>44315</v>
      </c>
      <c r="B191">
        <v>2021</v>
      </c>
      <c r="C191" t="s">
        <v>56</v>
      </c>
      <c r="D191" t="s">
        <v>32</v>
      </c>
      <c r="E191" t="s">
        <v>13</v>
      </c>
      <c r="F191" t="s">
        <v>64</v>
      </c>
      <c r="G191">
        <v>-15</v>
      </c>
      <c r="H191" t="s">
        <v>71</v>
      </c>
      <c r="I191">
        <v>0</v>
      </c>
      <c r="J191">
        <v>15</v>
      </c>
      <c r="K191">
        <v>-15</v>
      </c>
      <c r="L191" t="s">
        <v>94</v>
      </c>
    </row>
    <row r="192" spans="1:12" x14ac:dyDescent="0.25">
      <c r="A192" s="21">
        <v>44315</v>
      </c>
      <c r="B192">
        <v>2021</v>
      </c>
      <c r="C192" t="s">
        <v>11</v>
      </c>
      <c r="D192" t="s">
        <v>12</v>
      </c>
      <c r="E192" t="s">
        <v>13</v>
      </c>
      <c r="F192" t="s">
        <v>64</v>
      </c>
      <c r="G192">
        <v>-5</v>
      </c>
      <c r="H192" t="s">
        <v>71</v>
      </c>
      <c r="I192">
        <v>0</v>
      </c>
      <c r="J192">
        <v>5</v>
      </c>
      <c r="K192">
        <v>-5</v>
      </c>
      <c r="L192" t="s">
        <v>94</v>
      </c>
    </row>
    <row r="193" spans="1:12" x14ac:dyDescent="0.25">
      <c r="A193" s="21">
        <v>44316</v>
      </c>
      <c r="B193">
        <v>2021</v>
      </c>
      <c r="C193" t="s">
        <v>11</v>
      </c>
      <c r="D193" t="s">
        <v>12</v>
      </c>
      <c r="E193" t="s">
        <v>13</v>
      </c>
      <c r="F193" t="s">
        <v>64</v>
      </c>
      <c r="G193">
        <v>-5</v>
      </c>
      <c r="H193" t="s">
        <v>71</v>
      </c>
      <c r="I193">
        <v>0</v>
      </c>
      <c r="J193">
        <v>5</v>
      </c>
      <c r="K193">
        <v>-5</v>
      </c>
      <c r="L193" t="s">
        <v>94</v>
      </c>
    </row>
    <row r="194" spans="1:12" x14ac:dyDescent="0.25">
      <c r="A194" s="21">
        <v>44318</v>
      </c>
      <c r="B194">
        <v>2021</v>
      </c>
      <c r="C194" t="s">
        <v>11</v>
      </c>
      <c r="D194" t="s">
        <v>12</v>
      </c>
      <c r="E194" t="s">
        <v>13</v>
      </c>
      <c r="F194" t="s">
        <v>64</v>
      </c>
      <c r="G194">
        <v>-5</v>
      </c>
      <c r="H194" t="s">
        <v>71</v>
      </c>
      <c r="I194">
        <v>0</v>
      </c>
      <c r="J194">
        <v>5</v>
      </c>
      <c r="K194">
        <v>-5</v>
      </c>
      <c r="L194" t="s">
        <v>94</v>
      </c>
    </row>
    <row r="195" spans="1:12" x14ac:dyDescent="0.25">
      <c r="A195" s="21">
        <v>44319</v>
      </c>
      <c r="B195">
        <v>2021</v>
      </c>
      <c r="C195" t="s">
        <v>7</v>
      </c>
      <c r="D195" t="s">
        <v>8</v>
      </c>
      <c r="E195" t="s">
        <v>9</v>
      </c>
      <c r="F195" t="s">
        <v>9</v>
      </c>
      <c r="G195">
        <v>5000</v>
      </c>
      <c r="H195" t="s">
        <v>70</v>
      </c>
      <c r="I195">
        <v>5000</v>
      </c>
      <c r="J195">
        <v>0</v>
      </c>
      <c r="K195">
        <v>5000</v>
      </c>
      <c r="L195" t="s">
        <v>93</v>
      </c>
    </row>
    <row r="196" spans="1:12" x14ac:dyDescent="0.25">
      <c r="A196" s="21">
        <v>44319</v>
      </c>
      <c r="B196">
        <v>2021</v>
      </c>
      <c r="C196" t="s">
        <v>15</v>
      </c>
      <c r="D196" t="s">
        <v>16</v>
      </c>
      <c r="E196" t="s">
        <v>17</v>
      </c>
      <c r="F196" t="s">
        <v>65</v>
      </c>
      <c r="G196">
        <v>-900</v>
      </c>
      <c r="H196" t="s">
        <v>72</v>
      </c>
      <c r="I196">
        <v>0</v>
      </c>
      <c r="J196">
        <v>900</v>
      </c>
      <c r="K196">
        <v>-900</v>
      </c>
      <c r="L196" t="s">
        <v>94</v>
      </c>
    </row>
    <row r="197" spans="1:12" x14ac:dyDescent="0.25">
      <c r="A197" s="21">
        <v>44319</v>
      </c>
      <c r="B197">
        <v>2021</v>
      </c>
      <c r="C197" t="s">
        <v>18</v>
      </c>
      <c r="D197" t="s">
        <v>19</v>
      </c>
      <c r="E197" t="s">
        <v>20</v>
      </c>
      <c r="F197" t="s">
        <v>66</v>
      </c>
      <c r="G197">
        <v>-150</v>
      </c>
      <c r="H197" t="s">
        <v>73</v>
      </c>
      <c r="I197">
        <v>0</v>
      </c>
      <c r="J197">
        <v>150</v>
      </c>
      <c r="K197">
        <v>-150</v>
      </c>
      <c r="L197" t="s">
        <v>94</v>
      </c>
    </row>
    <row r="198" spans="1:12" x14ac:dyDescent="0.25">
      <c r="A198" s="21">
        <v>44319</v>
      </c>
      <c r="B198">
        <v>2021</v>
      </c>
      <c r="C198" t="s">
        <v>11</v>
      </c>
      <c r="D198" t="s">
        <v>12</v>
      </c>
      <c r="E198" t="s">
        <v>13</v>
      </c>
      <c r="F198" t="s">
        <v>64</v>
      </c>
      <c r="G198">
        <v>-5</v>
      </c>
      <c r="H198" t="s">
        <v>71</v>
      </c>
      <c r="I198">
        <v>0</v>
      </c>
      <c r="J198">
        <v>5</v>
      </c>
      <c r="K198">
        <v>-5</v>
      </c>
      <c r="L198" t="s">
        <v>94</v>
      </c>
    </row>
    <row r="199" spans="1:12" x14ac:dyDescent="0.25">
      <c r="A199" s="21">
        <v>44320</v>
      </c>
      <c r="B199">
        <v>2021</v>
      </c>
      <c r="C199" t="s">
        <v>11</v>
      </c>
      <c r="D199" t="s">
        <v>12</v>
      </c>
      <c r="E199" t="s">
        <v>13</v>
      </c>
      <c r="F199" t="s">
        <v>64</v>
      </c>
      <c r="G199">
        <v>-5</v>
      </c>
      <c r="H199" t="s">
        <v>71</v>
      </c>
      <c r="I199">
        <v>0</v>
      </c>
      <c r="J199">
        <v>5</v>
      </c>
      <c r="K199">
        <v>-5</v>
      </c>
      <c r="L199" t="s">
        <v>94</v>
      </c>
    </row>
    <row r="200" spans="1:12" x14ac:dyDescent="0.25">
      <c r="A200" s="21">
        <v>44321</v>
      </c>
      <c r="B200">
        <v>2021</v>
      </c>
      <c r="C200" t="s">
        <v>11</v>
      </c>
      <c r="D200" t="s">
        <v>12</v>
      </c>
      <c r="E200" t="s">
        <v>13</v>
      </c>
      <c r="F200" t="s">
        <v>64</v>
      </c>
      <c r="G200">
        <v>-5</v>
      </c>
      <c r="H200" t="s">
        <v>71</v>
      </c>
      <c r="I200">
        <v>0</v>
      </c>
      <c r="J200">
        <v>5</v>
      </c>
      <c r="K200">
        <v>-5</v>
      </c>
      <c r="L200" t="s">
        <v>94</v>
      </c>
    </row>
    <row r="201" spans="1:12" x14ac:dyDescent="0.25">
      <c r="A201" s="21">
        <v>44322</v>
      </c>
      <c r="B201">
        <v>2021</v>
      </c>
      <c r="C201" t="s">
        <v>11</v>
      </c>
      <c r="D201" t="s">
        <v>12</v>
      </c>
      <c r="E201" t="s">
        <v>13</v>
      </c>
      <c r="F201" t="s">
        <v>64</v>
      </c>
      <c r="G201">
        <v>-5</v>
      </c>
      <c r="H201" t="s">
        <v>71</v>
      </c>
      <c r="I201">
        <v>0</v>
      </c>
      <c r="J201">
        <v>5</v>
      </c>
      <c r="K201">
        <v>-5</v>
      </c>
      <c r="L201" t="s">
        <v>94</v>
      </c>
    </row>
    <row r="202" spans="1:12" x14ac:dyDescent="0.25">
      <c r="A202" s="21">
        <v>44322</v>
      </c>
      <c r="B202">
        <v>2021</v>
      </c>
      <c r="C202" t="s">
        <v>21</v>
      </c>
      <c r="D202" t="s">
        <v>22</v>
      </c>
      <c r="E202" t="s">
        <v>17</v>
      </c>
      <c r="F202" t="s">
        <v>64</v>
      </c>
      <c r="G202">
        <v>-170</v>
      </c>
      <c r="H202" t="s">
        <v>71</v>
      </c>
      <c r="I202">
        <v>0</v>
      </c>
      <c r="J202">
        <v>170</v>
      </c>
      <c r="K202">
        <v>-170</v>
      </c>
      <c r="L202" t="s">
        <v>94</v>
      </c>
    </row>
    <row r="203" spans="1:12" x14ac:dyDescent="0.25">
      <c r="A203" s="21">
        <v>44325</v>
      </c>
      <c r="B203">
        <v>2021</v>
      </c>
      <c r="C203" t="s">
        <v>23</v>
      </c>
      <c r="D203" t="s">
        <v>24</v>
      </c>
      <c r="E203" t="s">
        <v>17</v>
      </c>
      <c r="F203" t="s">
        <v>64</v>
      </c>
      <c r="G203">
        <v>-54.1</v>
      </c>
      <c r="H203" t="s">
        <v>71</v>
      </c>
      <c r="I203">
        <v>0</v>
      </c>
      <c r="J203">
        <v>54.1</v>
      </c>
      <c r="K203">
        <v>-54.1</v>
      </c>
      <c r="L203" t="s">
        <v>94</v>
      </c>
    </row>
    <row r="204" spans="1:12" x14ac:dyDescent="0.25">
      <c r="A204" s="21">
        <v>44325</v>
      </c>
      <c r="B204">
        <v>2021</v>
      </c>
      <c r="C204" t="s">
        <v>11</v>
      </c>
      <c r="D204" t="s">
        <v>12</v>
      </c>
      <c r="E204" t="s">
        <v>13</v>
      </c>
      <c r="F204" t="s">
        <v>64</v>
      </c>
      <c r="G204">
        <v>-5</v>
      </c>
      <c r="H204" t="s">
        <v>71</v>
      </c>
      <c r="I204">
        <v>0</v>
      </c>
      <c r="J204">
        <v>5</v>
      </c>
      <c r="K204">
        <v>-5</v>
      </c>
      <c r="L204" t="s">
        <v>94</v>
      </c>
    </row>
    <row r="205" spans="1:12" x14ac:dyDescent="0.25">
      <c r="A205" s="21">
        <v>44326</v>
      </c>
      <c r="B205">
        <v>2021</v>
      </c>
      <c r="C205" t="s">
        <v>11</v>
      </c>
      <c r="D205" t="s">
        <v>12</v>
      </c>
      <c r="E205" t="s">
        <v>13</v>
      </c>
      <c r="F205" t="s">
        <v>64</v>
      </c>
      <c r="G205">
        <v>-5</v>
      </c>
      <c r="H205" t="s">
        <v>71</v>
      </c>
      <c r="I205">
        <v>0</v>
      </c>
      <c r="J205">
        <v>5</v>
      </c>
      <c r="K205">
        <v>-5</v>
      </c>
      <c r="L205" t="s">
        <v>94</v>
      </c>
    </row>
    <row r="206" spans="1:12" x14ac:dyDescent="0.25">
      <c r="A206" s="21">
        <v>44327</v>
      </c>
      <c r="B206">
        <v>2021</v>
      </c>
      <c r="C206" t="s">
        <v>25</v>
      </c>
      <c r="D206" t="s">
        <v>48</v>
      </c>
      <c r="E206" t="s">
        <v>20</v>
      </c>
      <c r="F206" t="s">
        <v>68</v>
      </c>
      <c r="G206">
        <v>-81</v>
      </c>
      <c r="H206" t="s">
        <v>74</v>
      </c>
      <c r="I206">
        <v>0</v>
      </c>
      <c r="J206">
        <v>81</v>
      </c>
      <c r="K206">
        <v>-81</v>
      </c>
      <c r="L206" t="s">
        <v>94</v>
      </c>
    </row>
    <row r="207" spans="1:12" x14ac:dyDescent="0.25">
      <c r="A207" s="21">
        <v>44327</v>
      </c>
      <c r="B207">
        <v>2021</v>
      </c>
      <c r="C207" t="s">
        <v>11</v>
      </c>
      <c r="D207" t="s">
        <v>12</v>
      </c>
      <c r="E207" t="s">
        <v>13</v>
      </c>
      <c r="F207" t="s">
        <v>64</v>
      </c>
      <c r="G207">
        <v>-5</v>
      </c>
      <c r="H207" t="s">
        <v>71</v>
      </c>
      <c r="I207">
        <v>0</v>
      </c>
      <c r="J207">
        <v>5</v>
      </c>
      <c r="K207">
        <v>-5</v>
      </c>
      <c r="L207" t="s">
        <v>94</v>
      </c>
    </row>
    <row r="208" spans="1:12" x14ac:dyDescent="0.25">
      <c r="A208" s="21">
        <v>44328</v>
      </c>
      <c r="B208">
        <v>2021</v>
      </c>
      <c r="C208" t="s">
        <v>11</v>
      </c>
      <c r="D208" t="s">
        <v>12</v>
      </c>
      <c r="E208" t="s">
        <v>13</v>
      </c>
      <c r="F208" t="s">
        <v>64</v>
      </c>
      <c r="G208">
        <v>-5</v>
      </c>
      <c r="H208" t="s">
        <v>71</v>
      </c>
      <c r="I208">
        <v>0</v>
      </c>
      <c r="J208">
        <v>5</v>
      </c>
      <c r="K208">
        <v>-5</v>
      </c>
      <c r="L208" t="s">
        <v>94</v>
      </c>
    </row>
    <row r="209" spans="1:12" x14ac:dyDescent="0.25">
      <c r="A209" s="21">
        <v>44329</v>
      </c>
      <c r="B209">
        <v>2021</v>
      </c>
      <c r="C209" t="s">
        <v>21</v>
      </c>
      <c r="D209" t="s">
        <v>22</v>
      </c>
      <c r="E209" t="s">
        <v>17</v>
      </c>
      <c r="F209" t="s">
        <v>64</v>
      </c>
      <c r="G209">
        <v>-139.1</v>
      </c>
      <c r="H209" t="s">
        <v>71</v>
      </c>
      <c r="I209">
        <v>0</v>
      </c>
      <c r="J209">
        <v>139.1</v>
      </c>
      <c r="K209">
        <v>-139.1</v>
      </c>
      <c r="L209" t="s">
        <v>94</v>
      </c>
    </row>
    <row r="210" spans="1:12" x14ac:dyDescent="0.25">
      <c r="A210" s="21">
        <v>44329</v>
      </c>
      <c r="B210">
        <v>2021</v>
      </c>
      <c r="C210" t="s">
        <v>11</v>
      </c>
      <c r="D210" t="s">
        <v>12</v>
      </c>
      <c r="E210" t="s">
        <v>13</v>
      </c>
      <c r="F210" t="s">
        <v>64</v>
      </c>
      <c r="G210">
        <v>-5</v>
      </c>
      <c r="H210" t="s">
        <v>71</v>
      </c>
      <c r="I210">
        <v>0</v>
      </c>
      <c r="J210">
        <v>5</v>
      </c>
      <c r="K210">
        <v>-5</v>
      </c>
      <c r="L210" t="s">
        <v>94</v>
      </c>
    </row>
    <row r="211" spans="1:12" x14ac:dyDescent="0.25">
      <c r="A211" s="21">
        <v>44330</v>
      </c>
      <c r="B211">
        <v>2021</v>
      </c>
      <c r="C211" t="s">
        <v>11</v>
      </c>
      <c r="D211" t="s">
        <v>12</v>
      </c>
      <c r="E211" t="s">
        <v>13</v>
      </c>
      <c r="F211" t="s">
        <v>64</v>
      </c>
      <c r="G211">
        <v>-5</v>
      </c>
      <c r="H211" t="s">
        <v>71</v>
      </c>
      <c r="I211">
        <v>0</v>
      </c>
      <c r="J211">
        <v>5</v>
      </c>
      <c r="K211">
        <v>-5</v>
      </c>
      <c r="L211" t="s">
        <v>94</v>
      </c>
    </row>
    <row r="212" spans="1:12" x14ac:dyDescent="0.25">
      <c r="A212" s="21">
        <v>44330</v>
      </c>
      <c r="B212">
        <v>2021</v>
      </c>
      <c r="C212" t="s">
        <v>26</v>
      </c>
      <c r="D212" t="s">
        <v>27</v>
      </c>
      <c r="E212" t="s">
        <v>28</v>
      </c>
      <c r="F212" t="s">
        <v>27</v>
      </c>
      <c r="G212">
        <v>-43.9</v>
      </c>
      <c r="H212" t="s">
        <v>74</v>
      </c>
      <c r="I212">
        <v>0</v>
      </c>
      <c r="J212">
        <v>43.9</v>
      </c>
      <c r="K212">
        <v>-43.9</v>
      </c>
      <c r="L212" t="s">
        <v>94</v>
      </c>
    </row>
    <row r="213" spans="1:12" x14ac:dyDescent="0.25">
      <c r="A213" s="21">
        <v>44330</v>
      </c>
      <c r="B213">
        <v>2021</v>
      </c>
      <c r="C213" t="s">
        <v>29</v>
      </c>
      <c r="D213" t="s">
        <v>30</v>
      </c>
      <c r="E213" t="s">
        <v>28</v>
      </c>
      <c r="F213" t="s">
        <v>67</v>
      </c>
      <c r="G213">
        <v>-101.80000000000001</v>
      </c>
      <c r="H213" t="s">
        <v>71</v>
      </c>
      <c r="I213">
        <v>0</v>
      </c>
      <c r="J213">
        <v>101.80000000000001</v>
      </c>
      <c r="K213">
        <v>-101.80000000000001</v>
      </c>
      <c r="L213" t="s">
        <v>94</v>
      </c>
    </row>
    <row r="214" spans="1:12" x14ac:dyDescent="0.25">
      <c r="A214" s="21">
        <v>44330</v>
      </c>
      <c r="B214">
        <v>2021</v>
      </c>
      <c r="C214" t="s">
        <v>31</v>
      </c>
      <c r="D214" t="s">
        <v>32</v>
      </c>
      <c r="E214" t="s">
        <v>13</v>
      </c>
      <c r="F214" t="s">
        <v>64</v>
      </c>
      <c r="G214">
        <v>-55.9</v>
      </c>
      <c r="H214" t="s">
        <v>71</v>
      </c>
      <c r="I214">
        <v>0</v>
      </c>
      <c r="J214">
        <v>55.9</v>
      </c>
      <c r="K214">
        <v>-55.9</v>
      </c>
      <c r="L214" t="s">
        <v>94</v>
      </c>
    </row>
    <row r="215" spans="1:12" x14ac:dyDescent="0.25">
      <c r="A215" s="21">
        <v>44331</v>
      </c>
      <c r="B215">
        <v>2021</v>
      </c>
      <c r="C215" t="s">
        <v>33</v>
      </c>
      <c r="D215" t="s">
        <v>34</v>
      </c>
      <c r="E215" t="s">
        <v>20</v>
      </c>
      <c r="F215" t="s">
        <v>68</v>
      </c>
      <c r="G215">
        <v>-32</v>
      </c>
      <c r="H215" t="s">
        <v>74</v>
      </c>
      <c r="I215">
        <v>0</v>
      </c>
      <c r="J215">
        <v>32</v>
      </c>
      <c r="K215">
        <v>-32</v>
      </c>
      <c r="L215" t="s">
        <v>94</v>
      </c>
    </row>
    <row r="216" spans="1:12" x14ac:dyDescent="0.25">
      <c r="A216" s="21">
        <v>44332</v>
      </c>
      <c r="B216">
        <v>2021</v>
      </c>
      <c r="C216" t="s">
        <v>35</v>
      </c>
      <c r="D216" t="s">
        <v>36</v>
      </c>
      <c r="E216" t="s">
        <v>37</v>
      </c>
      <c r="F216" t="s">
        <v>37</v>
      </c>
      <c r="G216">
        <v>1000</v>
      </c>
      <c r="H216" t="s">
        <v>70</v>
      </c>
      <c r="I216">
        <v>1000</v>
      </c>
      <c r="J216">
        <v>0</v>
      </c>
      <c r="K216">
        <v>1000</v>
      </c>
      <c r="L216" t="s">
        <v>93</v>
      </c>
    </row>
    <row r="217" spans="1:12" x14ac:dyDescent="0.25">
      <c r="A217" s="21">
        <v>44332</v>
      </c>
      <c r="B217">
        <v>2021</v>
      </c>
      <c r="C217" t="s">
        <v>11</v>
      </c>
      <c r="D217" t="s">
        <v>12</v>
      </c>
      <c r="E217" t="s">
        <v>13</v>
      </c>
      <c r="F217" t="s">
        <v>64</v>
      </c>
      <c r="G217">
        <v>-5</v>
      </c>
      <c r="H217" t="s">
        <v>71</v>
      </c>
      <c r="I217">
        <v>0</v>
      </c>
      <c r="J217">
        <v>5</v>
      </c>
      <c r="K217">
        <v>-5</v>
      </c>
      <c r="L217" t="s">
        <v>94</v>
      </c>
    </row>
    <row r="218" spans="1:12" x14ac:dyDescent="0.25">
      <c r="A218" s="21">
        <v>44333</v>
      </c>
      <c r="B218">
        <v>2021</v>
      </c>
      <c r="C218" t="s">
        <v>11</v>
      </c>
      <c r="D218" t="s">
        <v>12</v>
      </c>
      <c r="E218" t="s">
        <v>13</v>
      </c>
      <c r="F218" t="s">
        <v>64</v>
      </c>
      <c r="G218">
        <v>-5</v>
      </c>
      <c r="H218" t="s">
        <v>71</v>
      </c>
      <c r="I218">
        <v>0</v>
      </c>
      <c r="J218">
        <v>5</v>
      </c>
      <c r="K218">
        <v>-5</v>
      </c>
      <c r="L218" t="s">
        <v>94</v>
      </c>
    </row>
    <row r="219" spans="1:12" x14ac:dyDescent="0.25">
      <c r="A219" s="21">
        <v>44333</v>
      </c>
      <c r="B219">
        <v>2021</v>
      </c>
      <c r="C219" t="s">
        <v>52</v>
      </c>
      <c r="D219" t="s">
        <v>53</v>
      </c>
      <c r="E219" t="s">
        <v>54</v>
      </c>
      <c r="F219" t="s">
        <v>54</v>
      </c>
      <c r="G219">
        <v>-75</v>
      </c>
      <c r="H219" t="s">
        <v>74</v>
      </c>
      <c r="I219">
        <v>0</v>
      </c>
      <c r="J219">
        <v>75</v>
      </c>
      <c r="K219">
        <v>-75</v>
      </c>
      <c r="L219" t="s">
        <v>94</v>
      </c>
    </row>
    <row r="220" spans="1:12" x14ac:dyDescent="0.25">
      <c r="A220" s="21">
        <v>44333</v>
      </c>
      <c r="B220">
        <v>2021</v>
      </c>
      <c r="C220" t="s">
        <v>39</v>
      </c>
      <c r="D220" t="s">
        <v>39</v>
      </c>
      <c r="E220" t="s">
        <v>17</v>
      </c>
      <c r="F220" t="s">
        <v>69</v>
      </c>
      <c r="G220">
        <v>-40</v>
      </c>
      <c r="H220" t="s">
        <v>72</v>
      </c>
      <c r="I220">
        <v>0</v>
      </c>
      <c r="J220">
        <v>40</v>
      </c>
      <c r="K220">
        <v>-40</v>
      </c>
      <c r="L220" t="s">
        <v>94</v>
      </c>
    </row>
    <row r="221" spans="1:12" x14ac:dyDescent="0.25">
      <c r="A221" s="21">
        <v>44334</v>
      </c>
      <c r="B221">
        <v>2021</v>
      </c>
      <c r="C221" t="s">
        <v>40</v>
      </c>
      <c r="D221" t="s">
        <v>41</v>
      </c>
      <c r="E221" t="s">
        <v>28</v>
      </c>
      <c r="F221" t="s">
        <v>67</v>
      </c>
      <c r="G221">
        <v>-49</v>
      </c>
      <c r="H221" t="s">
        <v>71</v>
      </c>
      <c r="I221">
        <v>0</v>
      </c>
      <c r="J221">
        <v>49</v>
      </c>
      <c r="K221">
        <v>-49</v>
      </c>
      <c r="L221" t="s">
        <v>94</v>
      </c>
    </row>
    <row r="222" spans="1:12" x14ac:dyDescent="0.25">
      <c r="A222" s="21">
        <v>44334</v>
      </c>
      <c r="B222">
        <v>2021</v>
      </c>
      <c r="C222" t="s">
        <v>42</v>
      </c>
      <c r="D222" t="s">
        <v>27</v>
      </c>
      <c r="E222" t="s">
        <v>28</v>
      </c>
      <c r="F222" t="s">
        <v>27</v>
      </c>
      <c r="G222">
        <v>-35</v>
      </c>
      <c r="H222" t="s">
        <v>74</v>
      </c>
      <c r="I222">
        <v>0</v>
      </c>
      <c r="J222">
        <v>35</v>
      </c>
      <c r="K222">
        <v>-35</v>
      </c>
      <c r="L222" t="s">
        <v>94</v>
      </c>
    </row>
    <row r="223" spans="1:12" x14ac:dyDescent="0.25">
      <c r="A223" s="21">
        <v>44334</v>
      </c>
      <c r="B223">
        <v>2021</v>
      </c>
      <c r="C223" t="s">
        <v>11</v>
      </c>
      <c r="D223" t="s">
        <v>12</v>
      </c>
      <c r="E223" t="s">
        <v>13</v>
      </c>
      <c r="F223" t="s">
        <v>64</v>
      </c>
      <c r="G223">
        <v>-5</v>
      </c>
      <c r="H223" t="s">
        <v>71</v>
      </c>
      <c r="I223">
        <v>0</v>
      </c>
      <c r="J223">
        <v>5</v>
      </c>
      <c r="K223">
        <v>-5</v>
      </c>
      <c r="L223" t="s">
        <v>94</v>
      </c>
    </row>
    <row r="224" spans="1:12" x14ac:dyDescent="0.25">
      <c r="A224" s="21">
        <v>44335</v>
      </c>
      <c r="B224">
        <v>2021</v>
      </c>
      <c r="C224" t="s">
        <v>11</v>
      </c>
      <c r="D224" t="s">
        <v>12</v>
      </c>
      <c r="E224" t="s">
        <v>13</v>
      </c>
      <c r="F224" t="s">
        <v>64</v>
      </c>
      <c r="G224">
        <v>-5</v>
      </c>
      <c r="H224" t="s">
        <v>71</v>
      </c>
      <c r="I224">
        <v>0</v>
      </c>
      <c r="J224">
        <v>5</v>
      </c>
      <c r="K224">
        <v>-5</v>
      </c>
      <c r="L224" t="s">
        <v>94</v>
      </c>
    </row>
    <row r="225" spans="1:12" x14ac:dyDescent="0.25">
      <c r="A225" s="21">
        <v>44336</v>
      </c>
      <c r="B225">
        <v>2021</v>
      </c>
      <c r="C225" t="s">
        <v>11</v>
      </c>
      <c r="D225" t="s">
        <v>12</v>
      </c>
      <c r="E225" t="s">
        <v>13</v>
      </c>
      <c r="F225" t="s">
        <v>64</v>
      </c>
      <c r="G225">
        <v>-5</v>
      </c>
      <c r="H225" t="s">
        <v>71</v>
      </c>
      <c r="I225">
        <v>0</v>
      </c>
      <c r="J225">
        <v>5</v>
      </c>
      <c r="K225">
        <v>-5</v>
      </c>
      <c r="L225" t="s">
        <v>94</v>
      </c>
    </row>
    <row r="226" spans="1:12" x14ac:dyDescent="0.25">
      <c r="A226" s="21">
        <v>44336</v>
      </c>
      <c r="B226">
        <v>2021</v>
      </c>
      <c r="C226" t="s">
        <v>21</v>
      </c>
      <c r="D226" t="s">
        <v>22</v>
      </c>
      <c r="E226" t="s">
        <v>17</v>
      </c>
      <c r="F226" t="s">
        <v>64</v>
      </c>
      <c r="G226">
        <v>-174</v>
      </c>
      <c r="H226" t="s">
        <v>71</v>
      </c>
      <c r="I226">
        <v>0</v>
      </c>
      <c r="J226">
        <v>174</v>
      </c>
      <c r="K226">
        <v>-174</v>
      </c>
      <c r="L226" t="s">
        <v>94</v>
      </c>
    </row>
    <row r="227" spans="1:12" x14ac:dyDescent="0.25">
      <c r="A227" s="21">
        <v>44337</v>
      </c>
      <c r="B227">
        <v>2021</v>
      </c>
      <c r="C227" t="s">
        <v>43</v>
      </c>
      <c r="D227" t="s">
        <v>32</v>
      </c>
      <c r="E227" t="s">
        <v>13</v>
      </c>
      <c r="F227" t="s">
        <v>64</v>
      </c>
      <c r="G227">
        <v>-41.1</v>
      </c>
      <c r="H227" t="s">
        <v>71</v>
      </c>
      <c r="I227">
        <v>0</v>
      </c>
      <c r="J227">
        <v>41.1</v>
      </c>
      <c r="K227">
        <v>-41.1</v>
      </c>
      <c r="L227" t="s">
        <v>94</v>
      </c>
    </row>
    <row r="228" spans="1:12" x14ac:dyDescent="0.25">
      <c r="A228" s="21">
        <v>44338</v>
      </c>
      <c r="B228">
        <v>2021</v>
      </c>
      <c r="C228" t="s">
        <v>44</v>
      </c>
      <c r="D228" t="s">
        <v>32</v>
      </c>
      <c r="E228" t="s">
        <v>13</v>
      </c>
      <c r="F228" t="s">
        <v>64</v>
      </c>
      <c r="G228">
        <v>-16.2</v>
      </c>
      <c r="H228" t="s">
        <v>71</v>
      </c>
      <c r="I228">
        <v>0</v>
      </c>
      <c r="J228">
        <v>16.2</v>
      </c>
      <c r="K228">
        <v>-16.2</v>
      </c>
      <c r="L228" t="s">
        <v>94</v>
      </c>
    </row>
    <row r="229" spans="1:12" x14ac:dyDescent="0.25">
      <c r="A229" s="21">
        <v>44339</v>
      </c>
      <c r="B229">
        <v>2021</v>
      </c>
      <c r="C229" t="s">
        <v>45</v>
      </c>
      <c r="D229" t="s">
        <v>46</v>
      </c>
      <c r="E229" t="s">
        <v>47</v>
      </c>
      <c r="F229" t="s">
        <v>67</v>
      </c>
      <c r="G229">
        <v>-55</v>
      </c>
      <c r="H229" t="s">
        <v>71</v>
      </c>
      <c r="I229">
        <v>0</v>
      </c>
      <c r="J229">
        <v>55</v>
      </c>
      <c r="K229">
        <v>-55</v>
      </c>
      <c r="L229" t="s">
        <v>94</v>
      </c>
    </row>
    <row r="230" spans="1:12" x14ac:dyDescent="0.25">
      <c r="A230" s="21">
        <v>44339</v>
      </c>
      <c r="B230">
        <v>2021</v>
      </c>
      <c r="C230" t="s">
        <v>25</v>
      </c>
      <c r="D230" t="s">
        <v>48</v>
      </c>
      <c r="E230" t="s">
        <v>20</v>
      </c>
      <c r="F230" t="s">
        <v>68</v>
      </c>
      <c r="G230">
        <v>-67</v>
      </c>
      <c r="H230" t="s">
        <v>74</v>
      </c>
      <c r="I230">
        <v>0</v>
      </c>
      <c r="J230">
        <v>67</v>
      </c>
      <c r="K230">
        <v>-67</v>
      </c>
      <c r="L230" t="s">
        <v>94</v>
      </c>
    </row>
    <row r="231" spans="1:12" x14ac:dyDescent="0.25">
      <c r="A231" s="21">
        <v>44339</v>
      </c>
      <c r="B231">
        <v>2021</v>
      </c>
      <c r="C231" t="s">
        <v>11</v>
      </c>
      <c r="D231" t="s">
        <v>12</v>
      </c>
      <c r="E231" t="s">
        <v>13</v>
      </c>
      <c r="F231" t="s">
        <v>64</v>
      </c>
      <c r="G231">
        <v>-5</v>
      </c>
      <c r="H231" t="s">
        <v>71</v>
      </c>
      <c r="I231">
        <v>0</v>
      </c>
      <c r="J231">
        <v>5</v>
      </c>
      <c r="K231">
        <v>-5</v>
      </c>
      <c r="L231" t="s">
        <v>94</v>
      </c>
    </row>
    <row r="232" spans="1:12" x14ac:dyDescent="0.25">
      <c r="A232" s="21">
        <v>44340</v>
      </c>
      <c r="B232">
        <v>2021</v>
      </c>
      <c r="C232" t="s">
        <v>11</v>
      </c>
      <c r="D232" t="s">
        <v>12</v>
      </c>
      <c r="E232" t="s">
        <v>13</v>
      </c>
      <c r="F232" t="s">
        <v>64</v>
      </c>
      <c r="G232">
        <v>-5</v>
      </c>
      <c r="H232" t="s">
        <v>71</v>
      </c>
      <c r="I232">
        <v>0</v>
      </c>
      <c r="J232">
        <v>5</v>
      </c>
      <c r="K232">
        <v>-5</v>
      </c>
      <c r="L232" t="s">
        <v>94</v>
      </c>
    </row>
    <row r="233" spans="1:12" x14ac:dyDescent="0.25">
      <c r="A233" s="21">
        <v>44341</v>
      </c>
      <c r="B233">
        <v>2021</v>
      </c>
      <c r="C233" t="s">
        <v>11</v>
      </c>
      <c r="D233" t="s">
        <v>12</v>
      </c>
      <c r="E233" t="s">
        <v>13</v>
      </c>
      <c r="F233" t="s">
        <v>64</v>
      </c>
      <c r="G233">
        <v>-5</v>
      </c>
      <c r="H233" t="s">
        <v>71</v>
      </c>
      <c r="I233">
        <v>0</v>
      </c>
      <c r="J233">
        <v>5</v>
      </c>
      <c r="K233">
        <v>-5</v>
      </c>
      <c r="L233" t="s">
        <v>94</v>
      </c>
    </row>
    <row r="234" spans="1:12" x14ac:dyDescent="0.25">
      <c r="A234" s="21">
        <v>44342</v>
      </c>
      <c r="B234">
        <v>2021</v>
      </c>
      <c r="C234" t="s">
        <v>11</v>
      </c>
      <c r="D234" t="s">
        <v>12</v>
      </c>
      <c r="E234" t="s">
        <v>13</v>
      </c>
      <c r="F234" t="s">
        <v>64</v>
      </c>
      <c r="G234">
        <v>-5</v>
      </c>
      <c r="H234" t="s">
        <v>71</v>
      </c>
      <c r="I234">
        <v>0</v>
      </c>
      <c r="J234">
        <v>5</v>
      </c>
      <c r="K234">
        <v>-5</v>
      </c>
      <c r="L234" t="s">
        <v>94</v>
      </c>
    </row>
    <row r="235" spans="1:12" x14ac:dyDescent="0.25">
      <c r="A235" s="21">
        <v>44343</v>
      </c>
      <c r="B235">
        <v>2021</v>
      </c>
      <c r="C235" t="s">
        <v>11</v>
      </c>
      <c r="D235" t="s">
        <v>12</v>
      </c>
      <c r="E235" t="s">
        <v>13</v>
      </c>
      <c r="F235" t="s">
        <v>64</v>
      </c>
      <c r="G235">
        <v>-5</v>
      </c>
      <c r="H235" t="s">
        <v>71</v>
      </c>
      <c r="I235">
        <v>0</v>
      </c>
      <c r="J235">
        <v>5</v>
      </c>
      <c r="K235">
        <v>-5</v>
      </c>
      <c r="L235" t="s">
        <v>94</v>
      </c>
    </row>
    <row r="236" spans="1:12" x14ac:dyDescent="0.25">
      <c r="A236" s="21">
        <v>44343</v>
      </c>
      <c r="B236">
        <v>2021</v>
      </c>
      <c r="C236" t="s">
        <v>21</v>
      </c>
      <c r="D236" t="s">
        <v>22</v>
      </c>
      <c r="E236" t="s">
        <v>17</v>
      </c>
      <c r="F236" t="s">
        <v>64</v>
      </c>
      <c r="G236">
        <v>-165.8</v>
      </c>
      <c r="H236" t="s">
        <v>71</v>
      </c>
      <c r="I236">
        <v>0</v>
      </c>
      <c r="J236">
        <v>165.8</v>
      </c>
      <c r="K236">
        <v>-165.8</v>
      </c>
      <c r="L236" t="s">
        <v>94</v>
      </c>
    </row>
    <row r="237" spans="1:12" x14ac:dyDescent="0.25">
      <c r="A237" s="21">
        <v>44344</v>
      </c>
      <c r="B237">
        <v>2021</v>
      </c>
      <c r="C237" t="s">
        <v>49</v>
      </c>
      <c r="D237" t="s">
        <v>30</v>
      </c>
      <c r="E237" t="s">
        <v>28</v>
      </c>
      <c r="F237" t="s">
        <v>67</v>
      </c>
      <c r="G237">
        <v>-128.80000000000001</v>
      </c>
      <c r="H237" t="s">
        <v>71</v>
      </c>
      <c r="I237">
        <v>0</v>
      </c>
      <c r="J237">
        <v>128.80000000000001</v>
      </c>
      <c r="K237">
        <v>-128.80000000000001</v>
      </c>
      <c r="L237" t="s">
        <v>94</v>
      </c>
    </row>
    <row r="238" spans="1:12" x14ac:dyDescent="0.25">
      <c r="A238" s="21">
        <v>44344</v>
      </c>
      <c r="B238">
        <v>2021</v>
      </c>
      <c r="C238" t="s">
        <v>58</v>
      </c>
      <c r="D238" t="s">
        <v>59</v>
      </c>
      <c r="E238" t="s">
        <v>28</v>
      </c>
      <c r="F238" t="s">
        <v>65</v>
      </c>
      <c r="G238">
        <v>-235</v>
      </c>
      <c r="H238" t="s">
        <v>72</v>
      </c>
      <c r="I238">
        <v>0</v>
      </c>
      <c r="J238">
        <v>235</v>
      </c>
      <c r="K238">
        <v>-235</v>
      </c>
      <c r="L238" t="s">
        <v>94</v>
      </c>
    </row>
    <row r="239" spans="1:12" x14ac:dyDescent="0.25">
      <c r="A239" s="21">
        <v>44345</v>
      </c>
      <c r="B239">
        <v>2021</v>
      </c>
      <c r="C239" t="s">
        <v>29</v>
      </c>
      <c r="D239" t="s">
        <v>30</v>
      </c>
      <c r="E239" t="s">
        <v>28</v>
      </c>
      <c r="F239" t="s">
        <v>67</v>
      </c>
      <c r="G239">
        <v>-149.19999999999999</v>
      </c>
      <c r="H239" t="s">
        <v>71</v>
      </c>
      <c r="I239">
        <v>0</v>
      </c>
      <c r="J239">
        <v>149.19999999999999</v>
      </c>
      <c r="K239">
        <v>-149.19999999999999</v>
      </c>
      <c r="L239" t="s">
        <v>94</v>
      </c>
    </row>
    <row r="240" spans="1:12" x14ac:dyDescent="0.25">
      <c r="A240" s="21">
        <v>44345</v>
      </c>
      <c r="B240">
        <v>2021</v>
      </c>
      <c r="C240" t="s">
        <v>33</v>
      </c>
      <c r="D240" t="s">
        <v>34</v>
      </c>
      <c r="E240" t="s">
        <v>20</v>
      </c>
      <c r="F240" t="s">
        <v>68</v>
      </c>
      <c r="G240">
        <v>-27.200000000000003</v>
      </c>
      <c r="H240" t="s">
        <v>74</v>
      </c>
      <c r="I240">
        <v>0</v>
      </c>
      <c r="J240">
        <v>27.200000000000003</v>
      </c>
      <c r="K240">
        <v>-27.200000000000003</v>
      </c>
      <c r="L240" t="s">
        <v>94</v>
      </c>
    </row>
    <row r="241" spans="1:12" x14ac:dyDescent="0.25">
      <c r="A241" s="21">
        <v>44347</v>
      </c>
      <c r="B241">
        <v>2021</v>
      </c>
      <c r="C241" t="s">
        <v>56</v>
      </c>
      <c r="D241" t="s">
        <v>32</v>
      </c>
      <c r="E241" t="s">
        <v>13</v>
      </c>
      <c r="F241" t="s">
        <v>64</v>
      </c>
      <c r="G241">
        <v>-15</v>
      </c>
      <c r="H241" t="s">
        <v>71</v>
      </c>
      <c r="I241">
        <v>0</v>
      </c>
      <c r="J241">
        <v>15</v>
      </c>
      <c r="K241">
        <v>-15</v>
      </c>
      <c r="L241" t="s">
        <v>94</v>
      </c>
    </row>
    <row r="242" spans="1:12" x14ac:dyDescent="0.25">
      <c r="A242" s="21">
        <v>44346</v>
      </c>
      <c r="B242">
        <v>2021</v>
      </c>
      <c r="C242" t="s">
        <v>11</v>
      </c>
      <c r="D242" t="s">
        <v>12</v>
      </c>
      <c r="E242" t="s">
        <v>13</v>
      </c>
      <c r="F242" t="s">
        <v>64</v>
      </c>
      <c r="G242">
        <v>-5</v>
      </c>
      <c r="H242" t="s">
        <v>71</v>
      </c>
      <c r="I242">
        <v>0</v>
      </c>
      <c r="J242">
        <v>5</v>
      </c>
      <c r="K242">
        <v>-5</v>
      </c>
      <c r="L242" t="s">
        <v>94</v>
      </c>
    </row>
    <row r="243" spans="1:12" x14ac:dyDescent="0.25">
      <c r="A243" s="21">
        <v>44347</v>
      </c>
      <c r="B243">
        <v>2021</v>
      </c>
      <c r="C243" t="s">
        <v>11</v>
      </c>
      <c r="D243" t="s">
        <v>12</v>
      </c>
      <c r="E243" t="s">
        <v>13</v>
      </c>
      <c r="F243" t="s">
        <v>64</v>
      </c>
      <c r="G243">
        <v>-5</v>
      </c>
      <c r="H243" t="s">
        <v>71</v>
      </c>
      <c r="I243">
        <v>0</v>
      </c>
      <c r="J243">
        <v>5</v>
      </c>
      <c r="K243">
        <v>-5</v>
      </c>
      <c r="L243" t="s">
        <v>94</v>
      </c>
    </row>
    <row r="244" spans="1:12" x14ac:dyDescent="0.25">
      <c r="A244" s="21">
        <v>44348</v>
      </c>
      <c r="B244">
        <v>2021</v>
      </c>
      <c r="C244" t="s">
        <v>7</v>
      </c>
      <c r="D244" t="s">
        <v>8</v>
      </c>
      <c r="E244" t="s">
        <v>9</v>
      </c>
      <c r="F244" t="s">
        <v>9</v>
      </c>
      <c r="G244">
        <v>5000</v>
      </c>
      <c r="H244" t="s">
        <v>70</v>
      </c>
      <c r="I244">
        <v>5000</v>
      </c>
      <c r="J244">
        <v>0</v>
      </c>
      <c r="K244">
        <v>5000</v>
      </c>
      <c r="L244" t="s">
        <v>93</v>
      </c>
    </row>
    <row r="245" spans="1:12" x14ac:dyDescent="0.25">
      <c r="A245" s="21">
        <v>44350</v>
      </c>
      <c r="B245">
        <v>2021</v>
      </c>
      <c r="C245" t="s">
        <v>11</v>
      </c>
      <c r="D245" t="s">
        <v>12</v>
      </c>
      <c r="E245" t="s">
        <v>13</v>
      </c>
      <c r="F245" t="s">
        <v>64</v>
      </c>
      <c r="G245">
        <v>-5</v>
      </c>
      <c r="H245" t="s">
        <v>71</v>
      </c>
      <c r="I245">
        <v>0</v>
      </c>
      <c r="J245">
        <v>5</v>
      </c>
      <c r="K245">
        <v>-5</v>
      </c>
      <c r="L245" t="s">
        <v>94</v>
      </c>
    </row>
    <row r="246" spans="1:12" x14ac:dyDescent="0.25">
      <c r="A246" s="21">
        <v>44350</v>
      </c>
      <c r="B246">
        <v>2021</v>
      </c>
      <c r="C246" t="s">
        <v>15</v>
      </c>
      <c r="D246" t="s">
        <v>16</v>
      </c>
      <c r="E246" t="s">
        <v>17</v>
      </c>
      <c r="F246" t="s">
        <v>65</v>
      </c>
      <c r="G246">
        <v>-900</v>
      </c>
      <c r="H246" t="s">
        <v>72</v>
      </c>
      <c r="I246">
        <v>0</v>
      </c>
      <c r="J246">
        <v>900</v>
      </c>
      <c r="K246">
        <v>-900</v>
      </c>
      <c r="L246" t="s">
        <v>94</v>
      </c>
    </row>
    <row r="247" spans="1:12" x14ac:dyDescent="0.25">
      <c r="A247" s="21">
        <v>44350</v>
      </c>
      <c r="B247">
        <v>2021</v>
      </c>
      <c r="C247" t="s">
        <v>18</v>
      </c>
      <c r="D247" t="s">
        <v>19</v>
      </c>
      <c r="E247" t="s">
        <v>20</v>
      </c>
      <c r="F247" t="s">
        <v>66</v>
      </c>
      <c r="G247">
        <v>-150</v>
      </c>
      <c r="H247" t="s">
        <v>73</v>
      </c>
      <c r="I247">
        <v>0</v>
      </c>
      <c r="J247">
        <v>150</v>
      </c>
      <c r="K247">
        <v>-150</v>
      </c>
      <c r="L247" t="s">
        <v>94</v>
      </c>
    </row>
    <row r="248" spans="1:12" x14ac:dyDescent="0.25">
      <c r="A248" s="21">
        <v>44350</v>
      </c>
      <c r="B248">
        <v>2021</v>
      </c>
      <c r="C248" t="s">
        <v>11</v>
      </c>
      <c r="D248" t="s">
        <v>12</v>
      </c>
      <c r="E248" t="s">
        <v>13</v>
      </c>
      <c r="F248" t="s">
        <v>64</v>
      </c>
      <c r="G248">
        <v>-5</v>
      </c>
      <c r="H248" t="s">
        <v>71</v>
      </c>
      <c r="I248">
        <v>0</v>
      </c>
      <c r="J248">
        <v>5</v>
      </c>
      <c r="K248">
        <v>-5</v>
      </c>
      <c r="L248" t="s">
        <v>94</v>
      </c>
    </row>
    <row r="249" spans="1:12" x14ac:dyDescent="0.25">
      <c r="A249" s="21">
        <v>44351</v>
      </c>
      <c r="B249">
        <v>2021</v>
      </c>
      <c r="C249" t="s">
        <v>11</v>
      </c>
      <c r="D249" t="s">
        <v>12</v>
      </c>
      <c r="E249" t="s">
        <v>13</v>
      </c>
      <c r="F249" t="s">
        <v>64</v>
      </c>
      <c r="G249">
        <v>-5</v>
      </c>
      <c r="H249" t="s">
        <v>71</v>
      </c>
      <c r="I249">
        <v>0</v>
      </c>
      <c r="J249">
        <v>5</v>
      </c>
      <c r="K249">
        <v>-5</v>
      </c>
      <c r="L249" t="s">
        <v>94</v>
      </c>
    </row>
    <row r="250" spans="1:12" x14ac:dyDescent="0.25">
      <c r="A250" s="21">
        <v>44352</v>
      </c>
      <c r="B250">
        <v>2021</v>
      </c>
      <c r="C250" t="s">
        <v>11</v>
      </c>
      <c r="D250" t="s">
        <v>12</v>
      </c>
      <c r="E250" t="s">
        <v>13</v>
      </c>
      <c r="F250" t="s">
        <v>64</v>
      </c>
      <c r="G250">
        <v>-5</v>
      </c>
      <c r="H250" t="s">
        <v>71</v>
      </c>
      <c r="I250">
        <v>0</v>
      </c>
      <c r="J250">
        <v>5</v>
      </c>
      <c r="K250">
        <v>-5</v>
      </c>
      <c r="L250" t="s">
        <v>94</v>
      </c>
    </row>
    <row r="251" spans="1:12" x14ac:dyDescent="0.25">
      <c r="A251" s="21">
        <v>44353</v>
      </c>
      <c r="B251">
        <v>2021</v>
      </c>
      <c r="C251" t="s">
        <v>11</v>
      </c>
      <c r="D251" t="s">
        <v>12</v>
      </c>
      <c r="E251" t="s">
        <v>13</v>
      </c>
      <c r="F251" t="s">
        <v>64</v>
      </c>
      <c r="G251">
        <v>-5</v>
      </c>
      <c r="H251" t="s">
        <v>71</v>
      </c>
      <c r="I251">
        <v>0</v>
      </c>
      <c r="J251">
        <v>5</v>
      </c>
      <c r="K251">
        <v>-5</v>
      </c>
      <c r="L251" t="s">
        <v>94</v>
      </c>
    </row>
    <row r="252" spans="1:12" x14ac:dyDescent="0.25">
      <c r="A252" s="21">
        <v>44353</v>
      </c>
      <c r="B252">
        <v>2021</v>
      </c>
      <c r="C252" t="s">
        <v>21</v>
      </c>
      <c r="D252" t="s">
        <v>22</v>
      </c>
      <c r="E252" t="s">
        <v>17</v>
      </c>
      <c r="F252" t="s">
        <v>64</v>
      </c>
      <c r="G252">
        <v>-119</v>
      </c>
      <c r="H252" t="s">
        <v>71</v>
      </c>
      <c r="I252">
        <v>0</v>
      </c>
      <c r="J252">
        <v>119</v>
      </c>
      <c r="K252">
        <v>-119</v>
      </c>
      <c r="L252" t="s">
        <v>94</v>
      </c>
    </row>
    <row r="253" spans="1:12" x14ac:dyDescent="0.25">
      <c r="A253" s="21">
        <v>44356</v>
      </c>
      <c r="B253">
        <v>2021</v>
      </c>
      <c r="C253" t="s">
        <v>23</v>
      </c>
      <c r="D253" t="s">
        <v>24</v>
      </c>
      <c r="E253" t="s">
        <v>17</v>
      </c>
      <c r="F253" t="s">
        <v>64</v>
      </c>
      <c r="G253">
        <v>-55</v>
      </c>
      <c r="H253" t="s">
        <v>71</v>
      </c>
      <c r="I253">
        <v>0</v>
      </c>
      <c r="J253">
        <v>55</v>
      </c>
      <c r="K253">
        <v>-55</v>
      </c>
      <c r="L253" t="s">
        <v>94</v>
      </c>
    </row>
    <row r="254" spans="1:12" x14ac:dyDescent="0.25">
      <c r="A254" s="21">
        <v>44356</v>
      </c>
      <c r="B254">
        <v>2021</v>
      </c>
      <c r="C254" t="s">
        <v>11</v>
      </c>
      <c r="D254" t="s">
        <v>12</v>
      </c>
      <c r="E254" t="s">
        <v>13</v>
      </c>
      <c r="F254" t="s">
        <v>64</v>
      </c>
      <c r="G254">
        <v>-5</v>
      </c>
      <c r="H254" t="s">
        <v>71</v>
      </c>
      <c r="I254">
        <v>0</v>
      </c>
      <c r="J254">
        <v>5</v>
      </c>
      <c r="K254">
        <v>-5</v>
      </c>
      <c r="L254" t="s">
        <v>94</v>
      </c>
    </row>
    <row r="255" spans="1:12" x14ac:dyDescent="0.25">
      <c r="A255" s="21">
        <v>44357</v>
      </c>
      <c r="B255">
        <v>2021</v>
      </c>
      <c r="C255" t="s">
        <v>11</v>
      </c>
      <c r="D255" t="s">
        <v>12</v>
      </c>
      <c r="E255" t="s">
        <v>13</v>
      </c>
      <c r="F255" t="s">
        <v>64</v>
      </c>
      <c r="G255">
        <v>-5</v>
      </c>
      <c r="H255" t="s">
        <v>71</v>
      </c>
      <c r="I255">
        <v>0</v>
      </c>
      <c r="J255">
        <v>5</v>
      </c>
      <c r="K255">
        <v>-5</v>
      </c>
      <c r="L255" t="s">
        <v>94</v>
      </c>
    </row>
    <row r="256" spans="1:12" x14ac:dyDescent="0.25">
      <c r="A256" s="21">
        <v>44358</v>
      </c>
      <c r="B256">
        <v>2021</v>
      </c>
      <c r="C256" t="s">
        <v>25</v>
      </c>
      <c r="D256" t="s">
        <v>48</v>
      </c>
      <c r="E256" t="s">
        <v>20</v>
      </c>
      <c r="F256" t="s">
        <v>68</v>
      </c>
      <c r="G256">
        <v>-82.1</v>
      </c>
      <c r="H256" t="s">
        <v>74</v>
      </c>
      <c r="I256">
        <v>0</v>
      </c>
      <c r="J256">
        <v>82.1</v>
      </c>
      <c r="K256">
        <v>-82.1</v>
      </c>
      <c r="L256" t="s">
        <v>94</v>
      </c>
    </row>
    <row r="257" spans="1:12" x14ac:dyDescent="0.25">
      <c r="A257" s="21">
        <v>44358</v>
      </c>
      <c r="B257">
        <v>2021</v>
      </c>
      <c r="C257" t="s">
        <v>11</v>
      </c>
      <c r="D257" t="s">
        <v>12</v>
      </c>
      <c r="E257" t="s">
        <v>13</v>
      </c>
      <c r="F257" t="s">
        <v>64</v>
      </c>
      <c r="G257">
        <v>-5</v>
      </c>
      <c r="H257" t="s">
        <v>71</v>
      </c>
      <c r="I257">
        <v>0</v>
      </c>
      <c r="J257">
        <v>5</v>
      </c>
      <c r="K257">
        <v>-5</v>
      </c>
      <c r="L257" t="s">
        <v>94</v>
      </c>
    </row>
    <row r="258" spans="1:12" x14ac:dyDescent="0.25">
      <c r="A258" s="21">
        <v>44359</v>
      </c>
      <c r="B258">
        <v>2021</v>
      </c>
      <c r="C258" t="s">
        <v>11</v>
      </c>
      <c r="D258" t="s">
        <v>12</v>
      </c>
      <c r="E258" t="s">
        <v>13</v>
      </c>
      <c r="F258" t="s">
        <v>64</v>
      </c>
      <c r="G258">
        <v>-5</v>
      </c>
      <c r="H258" t="s">
        <v>71</v>
      </c>
      <c r="I258">
        <v>0</v>
      </c>
      <c r="J258">
        <v>5</v>
      </c>
      <c r="K258">
        <v>-5</v>
      </c>
      <c r="L258" t="s">
        <v>94</v>
      </c>
    </row>
    <row r="259" spans="1:12" x14ac:dyDescent="0.25">
      <c r="A259" s="21">
        <v>44360</v>
      </c>
      <c r="B259">
        <v>2021</v>
      </c>
      <c r="C259" t="s">
        <v>21</v>
      </c>
      <c r="D259" t="s">
        <v>22</v>
      </c>
      <c r="E259" t="s">
        <v>17</v>
      </c>
      <c r="F259" t="s">
        <v>64</v>
      </c>
      <c r="G259">
        <v>-140.19999999999999</v>
      </c>
      <c r="H259" t="s">
        <v>71</v>
      </c>
      <c r="I259">
        <v>0</v>
      </c>
      <c r="J259">
        <v>140.19999999999999</v>
      </c>
      <c r="K259">
        <v>-140.19999999999999</v>
      </c>
      <c r="L259" t="s">
        <v>94</v>
      </c>
    </row>
    <row r="260" spans="1:12" x14ac:dyDescent="0.25">
      <c r="A260" s="21">
        <v>44360</v>
      </c>
      <c r="B260">
        <v>2021</v>
      </c>
      <c r="C260" t="s">
        <v>11</v>
      </c>
      <c r="D260" t="s">
        <v>12</v>
      </c>
      <c r="E260" t="s">
        <v>13</v>
      </c>
      <c r="F260" t="s">
        <v>64</v>
      </c>
      <c r="G260">
        <v>-5</v>
      </c>
      <c r="H260" t="s">
        <v>71</v>
      </c>
      <c r="I260">
        <v>0</v>
      </c>
      <c r="J260">
        <v>5</v>
      </c>
      <c r="K260">
        <v>-5</v>
      </c>
      <c r="L260" t="s">
        <v>94</v>
      </c>
    </row>
    <row r="261" spans="1:12" x14ac:dyDescent="0.25">
      <c r="A261" s="21">
        <v>44361</v>
      </c>
      <c r="B261">
        <v>2021</v>
      </c>
      <c r="C261" t="s">
        <v>11</v>
      </c>
      <c r="D261" t="s">
        <v>12</v>
      </c>
      <c r="E261" t="s">
        <v>13</v>
      </c>
      <c r="F261" t="s">
        <v>64</v>
      </c>
      <c r="G261">
        <v>-5</v>
      </c>
      <c r="H261" t="s">
        <v>71</v>
      </c>
      <c r="I261">
        <v>0</v>
      </c>
      <c r="J261">
        <v>5</v>
      </c>
      <c r="K261">
        <v>-5</v>
      </c>
      <c r="L261" t="s">
        <v>94</v>
      </c>
    </row>
    <row r="262" spans="1:12" x14ac:dyDescent="0.25">
      <c r="A262" s="21">
        <v>44361</v>
      </c>
      <c r="B262">
        <v>2021</v>
      </c>
      <c r="C262" t="s">
        <v>26</v>
      </c>
      <c r="D262" t="s">
        <v>27</v>
      </c>
      <c r="E262" t="s">
        <v>28</v>
      </c>
      <c r="F262" t="s">
        <v>27</v>
      </c>
      <c r="G262">
        <v>-44.9</v>
      </c>
      <c r="H262" t="s">
        <v>74</v>
      </c>
      <c r="I262">
        <v>0</v>
      </c>
      <c r="J262">
        <v>44.9</v>
      </c>
      <c r="K262">
        <v>-44.9</v>
      </c>
      <c r="L262" t="s">
        <v>94</v>
      </c>
    </row>
    <row r="263" spans="1:12" x14ac:dyDescent="0.25">
      <c r="A263" s="21">
        <v>44361</v>
      </c>
      <c r="B263">
        <v>2021</v>
      </c>
      <c r="C263" t="s">
        <v>29</v>
      </c>
      <c r="D263" t="s">
        <v>30</v>
      </c>
      <c r="E263" t="s">
        <v>28</v>
      </c>
      <c r="F263" t="s">
        <v>67</v>
      </c>
      <c r="G263">
        <v>-102.9</v>
      </c>
      <c r="H263" t="s">
        <v>71</v>
      </c>
      <c r="I263">
        <v>0</v>
      </c>
      <c r="J263">
        <v>102.9</v>
      </c>
      <c r="K263">
        <v>-102.9</v>
      </c>
      <c r="L263" t="s">
        <v>94</v>
      </c>
    </row>
    <row r="264" spans="1:12" x14ac:dyDescent="0.25">
      <c r="A264" s="21">
        <v>44361</v>
      </c>
      <c r="B264">
        <v>2021</v>
      </c>
      <c r="C264" t="s">
        <v>31</v>
      </c>
      <c r="D264" t="s">
        <v>32</v>
      </c>
      <c r="E264" t="s">
        <v>13</v>
      </c>
      <c r="F264" t="s">
        <v>64</v>
      </c>
      <c r="G264">
        <v>-56.9</v>
      </c>
      <c r="H264" t="s">
        <v>71</v>
      </c>
      <c r="I264">
        <v>0</v>
      </c>
      <c r="J264">
        <v>56.9</v>
      </c>
      <c r="K264">
        <v>-56.9</v>
      </c>
      <c r="L264" t="s">
        <v>94</v>
      </c>
    </row>
    <row r="265" spans="1:12" x14ac:dyDescent="0.25">
      <c r="A265" s="21">
        <v>44362</v>
      </c>
      <c r="B265">
        <v>2021</v>
      </c>
      <c r="C265" t="s">
        <v>33</v>
      </c>
      <c r="D265" t="s">
        <v>34</v>
      </c>
      <c r="E265" t="s">
        <v>20</v>
      </c>
      <c r="F265" t="s">
        <v>68</v>
      </c>
      <c r="G265">
        <v>-33.1</v>
      </c>
      <c r="H265" t="s">
        <v>74</v>
      </c>
      <c r="I265">
        <v>0</v>
      </c>
      <c r="J265">
        <v>33.1</v>
      </c>
      <c r="K265">
        <v>-33.1</v>
      </c>
      <c r="L265" t="s">
        <v>94</v>
      </c>
    </row>
    <row r="266" spans="1:12" x14ac:dyDescent="0.25">
      <c r="A266" s="21">
        <v>44363</v>
      </c>
      <c r="B266">
        <v>2021</v>
      </c>
      <c r="C266" t="s">
        <v>35</v>
      </c>
      <c r="D266" t="s">
        <v>36</v>
      </c>
      <c r="E266" t="s">
        <v>37</v>
      </c>
      <c r="F266" t="s">
        <v>37</v>
      </c>
      <c r="G266">
        <v>100</v>
      </c>
      <c r="H266" t="s">
        <v>70</v>
      </c>
      <c r="I266">
        <v>100</v>
      </c>
      <c r="J266">
        <v>0</v>
      </c>
      <c r="K266">
        <v>100</v>
      </c>
      <c r="L266" t="s">
        <v>93</v>
      </c>
    </row>
    <row r="267" spans="1:12" x14ac:dyDescent="0.25">
      <c r="A267" s="21">
        <v>44363</v>
      </c>
      <c r="B267">
        <v>2021</v>
      </c>
      <c r="C267" t="s">
        <v>11</v>
      </c>
      <c r="D267" t="s">
        <v>12</v>
      </c>
      <c r="E267" t="s">
        <v>13</v>
      </c>
      <c r="F267" t="s">
        <v>64</v>
      </c>
      <c r="G267">
        <v>-5</v>
      </c>
      <c r="H267" t="s">
        <v>71</v>
      </c>
      <c r="I267">
        <v>0</v>
      </c>
      <c r="J267">
        <v>5</v>
      </c>
      <c r="K267">
        <v>-5</v>
      </c>
      <c r="L267" t="s">
        <v>94</v>
      </c>
    </row>
    <row r="268" spans="1:12" x14ac:dyDescent="0.25">
      <c r="A268" s="21">
        <v>44364</v>
      </c>
      <c r="B268">
        <v>2021</v>
      </c>
      <c r="C268" t="s">
        <v>11</v>
      </c>
      <c r="D268" t="s">
        <v>12</v>
      </c>
      <c r="E268" t="s">
        <v>13</v>
      </c>
      <c r="F268" t="s">
        <v>64</v>
      </c>
      <c r="G268">
        <v>-5</v>
      </c>
      <c r="H268" t="s">
        <v>71</v>
      </c>
      <c r="I268">
        <v>0</v>
      </c>
      <c r="J268">
        <v>5</v>
      </c>
      <c r="K268">
        <v>-5</v>
      </c>
      <c r="L268" t="s">
        <v>94</v>
      </c>
    </row>
    <row r="269" spans="1:12" x14ac:dyDescent="0.25">
      <c r="A269" s="21">
        <v>44364</v>
      </c>
      <c r="B269">
        <v>2021</v>
      </c>
      <c r="C269" t="s">
        <v>39</v>
      </c>
      <c r="D269" t="s">
        <v>39</v>
      </c>
      <c r="E269" t="s">
        <v>17</v>
      </c>
      <c r="F269" t="s">
        <v>69</v>
      </c>
      <c r="G269">
        <v>-40</v>
      </c>
      <c r="H269" t="s">
        <v>72</v>
      </c>
      <c r="I269">
        <v>0</v>
      </c>
      <c r="J269">
        <v>40</v>
      </c>
      <c r="K269">
        <v>-40</v>
      </c>
      <c r="L269" t="s">
        <v>94</v>
      </c>
    </row>
    <row r="270" spans="1:12" x14ac:dyDescent="0.25">
      <c r="A270" s="21">
        <v>44365</v>
      </c>
      <c r="B270">
        <v>2021</v>
      </c>
      <c r="C270" t="s">
        <v>40</v>
      </c>
      <c r="D270" t="s">
        <v>41</v>
      </c>
      <c r="E270" t="s">
        <v>28</v>
      </c>
      <c r="F270" t="s">
        <v>67</v>
      </c>
      <c r="G270">
        <v>-50.1</v>
      </c>
      <c r="H270" t="s">
        <v>71</v>
      </c>
      <c r="I270">
        <v>0</v>
      </c>
      <c r="J270">
        <v>50.1</v>
      </c>
      <c r="K270">
        <v>-50.1</v>
      </c>
      <c r="L270" t="s">
        <v>94</v>
      </c>
    </row>
    <row r="271" spans="1:12" x14ac:dyDescent="0.25">
      <c r="A271" s="21">
        <v>44365</v>
      </c>
      <c r="B271">
        <v>2021</v>
      </c>
      <c r="C271" t="s">
        <v>42</v>
      </c>
      <c r="D271" t="s">
        <v>27</v>
      </c>
      <c r="E271" t="s">
        <v>28</v>
      </c>
      <c r="F271" t="s">
        <v>27</v>
      </c>
      <c r="G271">
        <v>-35</v>
      </c>
      <c r="H271" t="s">
        <v>74</v>
      </c>
      <c r="I271">
        <v>0</v>
      </c>
      <c r="J271">
        <v>35</v>
      </c>
      <c r="K271">
        <v>-35</v>
      </c>
      <c r="L271" t="s">
        <v>94</v>
      </c>
    </row>
    <row r="272" spans="1:12" x14ac:dyDescent="0.25">
      <c r="A272" s="21">
        <v>44365</v>
      </c>
      <c r="B272">
        <v>2021</v>
      </c>
      <c r="C272" t="s">
        <v>11</v>
      </c>
      <c r="D272" t="s">
        <v>12</v>
      </c>
      <c r="E272" t="s">
        <v>13</v>
      </c>
      <c r="F272" t="s">
        <v>64</v>
      </c>
      <c r="G272">
        <v>-5</v>
      </c>
      <c r="H272" t="s">
        <v>71</v>
      </c>
      <c r="I272">
        <v>0</v>
      </c>
      <c r="J272">
        <v>5</v>
      </c>
      <c r="K272">
        <v>-5</v>
      </c>
      <c r="L272" t="s">
        <v>94</v>
      </c>
    </row>
    <row r="273" spans="1:12" x14ac:dyDescent="0.25">
      <c r="A273" s="21">
        <v>44366</v>
      </c>
      <c r="B273">
        <v>2021</v>
      </c>
      <c r="C273" t="s">
        <v>11</v>
      </c>
      <c r="D273" t="s">
        <v>12</v>
      </c>
      <c r="E273" t="s">
        <v>13</v>
      </c>
      <c r="F273" t="s">
        <v>64</v>
      </c>
      <c r="G273">
        <v>-5</v>
      </c>
      <c r="H273" t="s">
        <v>71</v>
      </c>
      <c r="I273">
        <v>0</v>
      </c>
      <c r="J273">
        <v>5</v>
      </c>
      <c r="K273">
        <v>-5</v>
      </c>
      <c r="L273" t="s">
        <v>94</v>
      </c>
    </row>
    <row r="274" spans="1:12" x14ac:dyDescent="0.25">
      <c r="A274" s="21">
        <v>44367</v>
      </c>
      <c r="B274">
        <v>2021</v>
      </c>
      <c r="C274" t="s">
        <v>11</v>
      </c>
      <c r="D274" t="s">
        <v>12</v>
      </c>
      <c r="E274" t="s">
        <v>13</v>
      </c>
      <c r="F274" t="s">
        <v>64</v>
      </c>
      <c r="G274">
        <v>-5</v>
      </c>
      <c r="H274" t="s">
        <v>71</v>
      </c>
      <c r="I274">
        <v>0</v>
      </c>
      <c r="J274">
        <v>5</v>
      </c>
      <c r="K274">
        <v>-5</v>
      </c>
      <c r="L274" t="s">
        <v>94</v>
      </c>
    </row>
    <row r="275" spans="1:12" x14ac:dyDescent="0.25">
      <c r="A275" s="21">
        <v>44367</v>
      </c>
      <c r="B275">
        <v>2021</v>
      </c>
      <c r="C275" t="s">
        <v>21</v>
      </c>
      <c r="D275" t="s">
        <v>22</v>
      </c>
      <c r="E275" t="s">
        <v>17</v>
      </c>
      <c r="F275" t="s">
        <v>64</v>
      </c>
      <c r="G275">
        <v>-234</v>
      </c>
      <c r="H275" t="s">
        <v>71</v>
      </c>
      <c r="I275">
        <v>0</v>
      </c>
      <c r="J275">
        <v>234</v>
      </c>
      <c r="K275">
        <v>-234</v>
      </c>
      <c r="L275" t="s">
        <v>94</v>
      </c>
    </row>
    <row r="276" spans="1:12" x14ac:dyDescent="0.25">
      <c r="A276" s="21">
        <v>44368</v>
      </c>
      <c r="B276">
        <v>2021</v>
      </c>
      <c r="C276" t="s">
        <v>43</v>
      </c>
      <c r="D276" t="s">
        <v>32</v>
      </c>
      <c r="E276" t="s">
        <v>13</v>
      </c>
      <c r="F276" t="s">
        <v>64</v>
      </c>
      <c r="G276">
        <v>-42.1</v>
      </c>
      <c r="H276" t="s">
        <v>71</v>
      </c>
      <c r="I276">
        <v>0</v>
      </c>
      <c r="J276">
        <v>42.1</v>
      </c>
      <c r="K276">
        <v>-42.1</v>
      </c>
      <c r="L276" t="s">
        <v>94</v>
      </c>
    </row>
    <row r="277" spans="1:12" x14ac:dyDescent="0.25">
      <c r="A277" s="21">
        <v>44369</v>
      </c>
      <c r="B277">
        <v>2021</v>
      </c>
      <c r="C277" t="s">
        <v>44</v>
      </c>
      <c r="D277" t="s">
        <v>32</v>
      </c>
      <c r="E277" t="s">
        <v>13</v>
      </c>
      <c r="F277" t="s">
        <v>64</v>
      </c>
      <c r="G277">
        <v>-17.099999999999998</v>
      </c>
      <c r="H277" t="s">
        <v>71</v>
      </c>
      <c r="I277">
        <v>0</v>
      </c>
      <c r="J277">
        <v>17.099999999999998</v>
      </c>
      <c r="K277">
        <v>-17.099999999999998</v>
      </c>
      <c r="L277" t="s">
        <v>94</v>
      </c>
    </row>
    <row r="278" spans="1:12" x14ac:dyDescent="0.25">
      <c r="A278" s="21">
        <v>44370</v>
      </c>
      <c r="B278">
        <v>2021</v>
      </c>
      <c r="C278" t="s">
        <v>45</v>
      </c>
      <c r="D278" t="s">
        <v>46</v>
      </c>
      <c r="E278" t="s">
        <v>47</v>
      </c>
      <c r="F278" t="s">
        <v>67</v>
      </c>
      <c r="G278">
        <v>-55</v>
      </c>
      <c r="H278" t="s">
        <v>71</v>
      </c>
      <c r="I278">
        <v>0</v>
      </c>
      <c r="J278">
        <v>55</v>
      </c>
      <c r="K278">
        <v>-55</v>
      </c>
      <c r="L278" t="s">
        <v>94</v>
      </c>
    </row>
    <row r="279" spans="1:12" x14ac:dyDescent="0.25">
      <c r="A279" s="21">
        <v>44370</v>
      </c>
      <c r="B279">
        <v>2021</v>
      </c>
      <c r="C279" t="s">
        <v>25</v>
      </c>
      <c r="D279" t="s">
        <v>48</v>
      </c>
      <c r="E279" t="s">
        <v>20</v>
      </c>
      <c r="F279" t="s">
        <v>68</v>
      </c>
      <c r="G279">
        <v>-67.900000000000006</v>
      </c>
      <c r="H279" t="s">
        <v>74</v>
      </c>
      <c r="I279">
        <v>0</v>
      </c>
      <c r="J279">
        <v>67.900000000000006</v>
      </c>
      <c r="K279">
        <v>-67.900000000000006</v>
      </c>
      <c r="L279" t="s">
        <v>94</v>
      </c>
    </row>
    <row r="280" spans="1:12" x14ac:dyDescent="0.25">
      <c r="A280" s="21">
        <v>44370</v>
      </c>
      <c r="B280">
        <v>2021</v>
      </c>
      <c r="C280" t="s">
        <v>11</v>
      </c>
      <c r="D280" t="s">
        <v>12</v>
      </c>
      <c r="E280" t="s">
        <v>13</v>
      </c>
      <c r="F280" t="s">
        <v>64</v>
      </c>
      <c r="G280">
        <v>-5</v>
      </c>
      <c r="H280" t="s">
        <v>71</v>
      </c>
      <c r="I280">
        <v>0</v>
      </c>
      <c r="J280">
        <v>5</v>
      </c>
      <c r="K280">
        <v>-5</v>
      </c>
      <c r="L280" t="s">
        <v>94</v>
      </c>
    </row>
    <row r="281" spans="1:12" x14ac:dyDescent="0.25">
      <c r="A281" s="21">
        <v>44371</v>
      </c>
      <c r="B281">
        <v>2021</v>
      </c>
      <c r="C281" t="s">
        <v>11</v>
      </c>
      <c r="D281" t="s">
        <v>12</v>
      </c>
      <c r="E281" t="s">
        <v>13</v>
      </c>
      <c r="F281" t="s">
        <v>64</v>
      </c>
      <c r="G281">
        <v>-5</v>
      </c>
      <c r="H281" t="s">
        <v>71</v>
      </c>
      <c r="I281">
        <v>0</v>
      </c>
      <c r="J281">
        <v>5</v>
      </c>
      <c r="K281">
        <v>-5</v>
      </c>
      <c r="L281" t="s">
        <v>94</v>
      </c>
    </row>
    <row r="282" spans="1:12" x14ac:dyDescent="0.25">
      <c r="A282" s="21">
        <v>44372</v>
      </c>
      <c r="B282">
        <v>2021</v>
      </c>
      <c r="C282" t="s">
        <v>11</v>
      </c>
      <c r="D282" t="s">
        <v>12</v>
      </c>
      <c r="E282" t="s">
        <v>13</v>
      </c>
      <c r="F282" t="s">
        <v>64</v>
      </c>
      <c r="G282">
        <v>-5</v>
      </c>
      <c r="H282" t="s">
        <v>71</v>
      </c>
      <c r="I282">
        <v>0</v>
      </c>
      <c r="J282">
        <v>5</v>
      </c>
      <c r="K282">
        <v>-5</v>
      </c>
      <c r="L282" t="s">
        <v>94</v>
      </c>
    </row>
    <row r="283" spans="1:12" x14ac:dyDescent="0.25">
      <c r="A283" s="21">
        <v>44373</v>
      </c>
      <c r="B283">
        <v>2021</v>
      </c>
      <c r="C283" t="s">
        <v>11</v>
      </c>
      <c r="D283" t="s">
        <v>12</v>
      </c>
      <c r="E283" t="s">
        <v>13</v>
      </c>
      <c r="F283" t="s">
        <v>64</v>
      </c>
      <c r="G283">
        <v>-5</v>
      </c>
      <c r="H283" t="s">
        <v>71</v>
      </c>
      <c r="I283">
        <v>0</v>
      </c>
      <c r="J283">
        <v>5</v>
      </c>
      <c r="K283">
        <v>-5</v>
      </c>
      <c r="L283" t="s">
        <v>94</v>
      </c>
    </row>
    <row r="284" spans="1:12" x14ac:dyDescent="0.25">
      <c r="A284" s="21">
        <v>44374</v>
      </c>
      <c r="B284">
        <v>2021</v>
      </c>
      <c r="C284" t="s">
        <v>11</v>
      </c>
      <c r="D284" t="s">
        <v>12</v>
      </c>
      <c r="E284" t="s">
        <v>13</v>
      </c>
      <c r="F284" t="s">
        <v>64</v>
      </c>
      <c r="G284">
        <v>-5</v>
      </c>
      <c r="H284" t="s">
        <v>71</v>
      </c>
      <c r="I284">
        <v>0</v>
      </c>
      <c r="J284">
        <v>5</v>
      </c>
      <c r="K284">
        <v>-5</v>
      </c>
      <c r="L284" t="s">
        <v>94</v>
      </c>
    </row>
    <row r="285" spans="1:12" x14ac:dyDescent="0.25">
      <c r="A285" s="21">
        <v>44374</v>
      </c>
      <c r="B285">
        <v>2021</v>
      </c>
      <c r="C285" t="s">
        <v>21</v>
      </c>
      <c r="D285" t="s">
        <v>22</v>
      </c>
      <c r="E285" t="s">
        <v>17</v>
      </c>
      <c r="F285" t="s">
        <v>64</v>
      </c>
      <c r="G285">
        <v>-166.9</v>
      </c>
      <c r="H285" t="s">
        <v>71</v>
      </c>
      <c r="I285">
        <v>0</v>
      </c>
      <c r="J285">
        <v>166.9</v>
      </c>
      <c r="K285">
        <v>-166.9</v>
      </c>
      <c r="L285" t="s">
        <v>94</v>
      </c>
    </row>
    <row r="286" spans="1:12" x14ac:dyDescent="0.25">
      <c r="A286" s="21">
        <v>44375</v>
      </c>
      <c r="B286">
        <v>2021</v>
      </c>
      <c r="C286" t="s">
        <v>49</v>
      </c>
      <c r="D286" t="s">
        <v>30</v>
      </c>
      <c r="E286" t="s">
        <v>28</v>
      </c>
      <c r="F286" t="s">
        <v>67</v>
      </c>
      <c r="G286">
        <v>-129.9</v>
      </c>
      <c r="H286" t="s">
        <v>71</v>
      </c>
      <c r="I286">
        <v>0</v>
      </c>
      <c r="J286">
        <v>129.9</v>
      </c>
      <c r="K286">
        <v>-129.9</v>
      </c>
      <c r="L286" t="s">
        <v>94</v>
      </c>
    </row>
    <row r="287" spans="1:12" x14ac:dyDescent="0.25">
      <c r="A287" s="21">
        <v>44375</v>
      </c>
      <c r="B287">
        <v>2021</v>
      </c>
      <c r="C287" t="s">
        <v>50</v>
      </c>
      <c r="D287" t="s">
        <v>27</v>
      </c>
      <c r="E287" t="s">
        <v>28</v>
      </c>
      <c r="F287" t="s">
        <v>27</v>
      </c>
      <c r="G287">
        <v>-180.29999999999998</v>
      </c>
      <c r="H287" t="s">
        <v>74</v>
      </c>
      <c r="I287">
        <v>0</v>
      </c>
      <c r="J287">
        <v>180.29999999999998</v>
      </c>
      <c r="K287">
        <v>-180.29999999999998</v>
      </c>
      <c r="L287" t="s">
        <v>94</v>
      </c>
    </row>
    <row r="288" spans="1:12" x14ac:dyDescent="0.25">
      <c r="A288" s="21">
        <v>44376</v>
      </c>
      <c r="B288">
        <v>2021</v>
      </c>
      <c r="C288" t="s">
        <v>29</v>
      </c>
      <c r="D288" t="s">
        <v>30</v>
      </c>
      <c r="E288" t="s">
        <v>28</v>
      </c>
      <c r="F288" t="s">
        <v>67</v>
      </c>
      <c r="G288">
        <v>-150.1</v>
      </c>
      <c r="H288" t="s">
        <v>71</v>
      </c>
      <c r="I288">
        <v>0</v>
      </c>
      <c r="J288">
        <v>150.1</v>
      </c>
      <c r="K288">
        <v>-150.1</v>
      </c>
      <c r="L288" t="s">
        <v>94</v>
      </c>
    </row>
    <row r="289" spans="1:12" x14ac:dyDescent="0.25">
      <c r="A289" s="21">
        <v>44376</v>
      </c>
      <c r="B289">
        <v>2021</v>
      </c>
      <c r="C289" t="s">
        <v>33</v>
      </c>
      <c r="D289" t="s">
        <v>34</v>
      </c>
      <c r="E289" t="s">
        <v>20</v>
      </c>
      <c r="F289" t="s">
        <v>68</v>
      </c>
      <c r="G289">
        <v>-28.200000000000003</v>
      </c>
      <c r="H289" t="s">
        <v>74</v>
      </c>
      <c r="I289">
        <v>0</v>
      </c>
      <c r="J289">
        <v>28.200000000000003</v>
      </c>
      <c r="K289">
        <v>-28.200000000000003</v>
      </c>
      <c r="L289" t="s">
        <v>94</v>
      </c>
    </row>
    <row r="290" spans="1:12" x14ac:dyDescent="0.25">
      <c r="A290" s="21">
        <v>44376</v>
      </c>
      <c r="B290">
        <v>2021</v>
      </c>
      <c r="C290" t="s">
        <v>56</v>
      </c>
      <c r="D290" t="s">
        <v>32</v>
      </c>
      <c r="E290" t="s">
        <v>13</v>
      </c>
      <c r="F290" t="s">
        <v>64</v>
      </c>
      <c r="G290">
        <v>-15</v>
      </c>
      <c r="H290" t="s">
        <v>71</v>
      </c>
      <c r="I290">
        <v>0</v>
      </c>
      <c r="J290">
        <v>15</v>
      </c>
      <c r="K290">
        <v>-15</v>
      </c>
      <c r="L290" t="s">
        <v>94</v>
      </c>
    </row>
    <row r="291" spans="1:12" x14ac:dyDescent="0.25">
      <c r="A291" s="21">
        <v>44377</v>
      </c>
      <c r="B291">
        <v>2021</v>
      </c>
      <c r="C291" t="s">
        <v>11</v>
      </c>
      <c r="D291" t="s">
        <v>12</v>
      </c>
      <c r="E291" t="s">
        <v>13</v>
      </c>
      <c r="F291" t="s">
        <v>64</v>
      </c>
      <c r="G291">
        <v>-5</v>
      </c>
      <c r="H291" t="s">
        <v>71</v>
      </c>
      <c r="I291">
        <v>0</v>
      </c>
      <c r="J291">
        <v>5</v>
      </c>
      <c r="K291">
        <v>-5</v>
      </c>
      <c r="L291" t="s">
        <v>94</v>
      </c>
    </row>
    <row r="292" spans="1:12" x14ac:dyDescent="0.25">
      <c r="A292" s="21">
        <v>44378</v>
      </c>
      <c r="B292">
        <v>2021</v>
      </c>
      <c r="C292" t="s">
        <v>11</v>
      </c>
      <c r="D292" t="s">
        <v>12</v>
      </c>
      <c r="E292" t="s">
        <v>13</v>
      </c>
      <c r="F292" t="s">
        <v>64</v>
      </c>
      <c r="G292">
        <v>-5</v>
      </c>
      <c r="H292" t="s">
        <v>71</v>
      </c>
      <c r="I292">
        <v>0</v>
      </c>
      <c r="J292">
        <v>5</v>
      </c>
      <c r="K292">
        <v>-5</v>
      </c>
      <c r="L292" t="s">
        <v>94</v>
      </c>
    </row>
    <row r="293" spans="1:12" x14ac:dyDescent="0.25">
      <c r="A293" s="21">
        <v>44379</v>
      </c>
      <c r="B293">
        <v>2021</v>
      </c>
      <c r="C293" t="s">
        <v>7</v>
      </c>
      <c r="D293" t="s">
        <v>8</v>
      </c>
      <c r="E293" t="s">
        <v>9</v>
      </c>
      <c r="F293" t="s">
        <v>9</v>
      </c>
      <c r="G293">
        <v>5000</v>
      </c>
      <c r="H293" t="s">
        <v>70</v>
      </c>
      <c r="I293">
        <v>5000</v>
      </c>
      <c r="J293">
        <v>0</v>
      </c>
      <c r="K293">
        <v>5000</v>
      </c>
      <c r="L293" t="s">
        <v>93</v>
      </c>
    </row>
    <row r="294" spans="1:12" x14ac:dyDescent="0.25">
      <c r="A294" s="21">
        <v>44380</v>
      </c>
      <c r="B294">
        <v>2021</v>
      </c>
      <c r="C294" t="s">
        <v>11</v>
      </c>
      <c r="D294" t="s">
        <v>12</v>
      </c>
      <c r="E294" t="s">
        <v>13</v>
      </c>
      <c r="F294" t="s">
        <v>64</v>
      </c>
      <c r="G294">
        <v>-5</v>
      </c>
      <c r="H294" t="s">
        <v>71</v>
      </c>
      <c r="I294">
        <v>0</v>
      </c>
      <c r="J294">
        <v>5</v>
      </c>
      <c r="K294">
        <v>-5</v>
      </c>
      <c r="L294" t="s">
        <v>94</v>
      </c>
    </row>
    <row r="295" spans="1:12" x14ac:dyDescent="0.25">
      <c r="A295" s="21">
        <v>44382</v>
      </c>
      <c r="B295">
        <v>2021</v>
      </c>
      <c r="C295" t="s">
        <v>15</v>
      </c>
      <c r="D295" t="s">
        <v>16</v>
      </c>
      <c r="E295" t="s">
        <v>17</v>
      </c>
      <c r="F295" t="s">
        <v>65</v>
      </c>
      <c r="G295">
        <v>-900</v>
      </c>
      <c r="H295" t="s">
        <v>72</v>
      </c>
      <c r="I295">
        <v>0</v>
      </c>
      <c r="J295">
        <v>900</v>
      </c>
      <c r="K295">
        <v>-900</v>
      </c>
      <c r="L295" t="s">
        <v>94</v>
      </c>
    </row>
    <row r="296" spans="1:12" x14ac:dyDescent="0.25">
      <c r="A296" s="21">
        <v>44382</v>
      </c>
      <c r="B296">
        <v>2021</v>
      </c>
      <c r="C296" t="s">
        <v>18</v>
      </c>
      <c r="D296" t="s">
        <v>19</v>
      </c>
      <c r="E296" t="s">
        <v>20</v>
      </c>
      <c r="F296" t="s">
        <v>66</v>
      </c>
      <c r="G296">
        <v>-150</v>
      </c>
      <c r="H296" t="s">
        <v>73</v>
      </c>
      <c r="I296">
        <v>0</v>
      </c>
      <c r="J296">
        <v>150</v>
      </c>
      <c r="K296">
        <v>-150</v>
      </c>
      <c r="L296" t="s">
        <v>94</v>
      </c>
    </row>
    <row r="297" spans="1:12" x14ac:dyDescent="0.25">
      <c r="A297" s="21">
        <v>44382</v>
      </c>
      <c r="B297">
        <v>2021</v>
      </c>
      <c r="C297" t="s">
        <v>60</v>
      </c>
      <c r="D297" t="s">
        <v>32</v>
      </c>
      <c r="E297" t="s">
        <v>13</v>
      </c>
      <c r="F297" t="s">
        <v>64</v>
      </c>
      <c r="G297">
        <v>-15</v>
      </c>
      <c r="H297" t="s">
        <v>71</v>
      </c>
      <c r="I297">
        <v>0</v>
      </c>
      <c r="J297">
        <v>15</v>
      </c>
      <c r="K297">
        <v>-15</v>
      </c>
      <c r="L297" t="s">
        <v>94</v>
      </c>
    </row>
    <row r="298" spans="1:12" x14ac:dyDescent="0.25">
      <c r="A298" s="21">
        <v>44382</v>
      </c>
      <c r="B298">
        <v>2021</v>
      </c>
      <c r="C298" t="s">
        <v>11</v>
      </c>
      <c r="D298" t="s">
        <v>12</v>
      </c>
      <c r="E298" t="s">
        <v>13</v>
      </c>
      <c r="F298" t="s">
        <v>64</v>
      </c>
      <c r="G298">
        <v>-5</v>
      </c>
      <c r="H298" t="s">
        <v>71</v>
      </c>
      <c r="I298">
        <v>0</v>
      </c>
      <c r="J298">
        <v>5</v>
      </c>
      <c r="K298">
        <v>-5</v>
      </c>
      <c r="L298" t="s">
        <v>94</v>
      </c>
    </row>
    <row r="299" spans="1:12" x14ac:dyDescent="0.25">
      <c r="A299" s="21">
        <v>44383</v>
      </c>
      <c r="B299">
        <v>2021</v>
      </c>
      <c r="C299" t="s">
        <v>11</v>
      </c>
      <c r="D299" t="s">
        <v>12</v>
      </c>
      <c r="E299" t="s">
        <v>13</v>
      </c>
      <c r="F299" t="s">
        <v>64</v>
      </c>
      <c r="G299">
        <v>-5</v>
      </c>
      <c r="H299" t="s">
        <v>71</v>
      </c>
      <c r="I299">
        <v>0</v>
      </c>
      <c r="J299">
        <v>5</v>
      </c>
      <c r="K299">
        <v>-5</v>
      </c>
      <c r="L299" t="s">
        <v>94</v>
      </c>
    </row>
    <row r="300" spans="1:12" x14ac:dyDescent="0.25">
      <c r="A300" s="21">
        <v>44384</v>
      </c>
      <c r="B300">
        <v>2021</v>
      </c>
      <c r="C300" t="s">
        <v>11</v>
      </c>
      <c r="D300" t="s">
        <v>12</v>
      </c>
      <c r="E300" t="s">
        <v>13</v>
      </c>
      <c r="F300" t="s">
        <v>64</v>
      </c>
      <c r="G300">
        <v>-5</v>
      </c>
      <c r="H300" t="s">
        <v>71</v>
      </c>
      <c r="I300">
        <v>0</v>
      </c>
      <c r="J300">
        <v>5</v>
      </c>
      <c r="K300">
        <v>-5</v>
      </c>
      <c r="L300" t="s">
        <v>94</v>
      </c>
    </row>
    <row r="301" spans="1:12" x14ac:dyDescent="0.25">
      <c r="A301" s="21">
        <v>44384</v>
      </c>
      <c r="B301">
        <v>2021</v>
      </c>
      <c r="C301" t="s">
        <v>21</v>
      </c>
      <c r="D301" t="s">
        <v>22</v>
      </c>
      <c r="E301" t="s">
        <v>17</v>
      </c>
      <c r="F301" t="s">
        <v>64</v>
      </c>
      <c r="G301">
        <v>-180</v>
      </c>
      <c r="H301" t="s">
        <v>71</v>
      </c>
      <c r="I301">
        <v>0</v>
      </c>
      <c r="J301">
        <v>180</v>
      </c>
      <c r="K301">
        <v>-180</v>
      </c>
      <c r="L301" t="s">
        <v>94</v>
      </c>
    </row>
    <row r="302" spans="1:12" x14ac:dyDescent="0.25">
      <c r="A302" s="21">
        <v>44387</v>
      </c>
      <c r="B302">
        <v>2021</v>
      </c>
      <c r="C302" t="s">
        <v>23</v>
      </c>
      <c r="D302" t="s">
        <v>24</v>
      </c>
      <c r="E302" t="s">
        <v>17</v>
      </c>
      <c r="F302" t="s">
        <v>64</v>
      </c>
      <c r="G302">
        <v>-56.1</v>
      </c>
      <c r="H302" t="s">
        <v>71</v>
      </c>
      <c r="I302">
        <v>0</v>
      </c>
      <c r="J302">
        <v>56.1</v>
      </c>
      <c r="K302">
        <v>-56.1</v>
      </c>
      <c r="L302" t="s">
        <v>94</v>
      </c>
    </row>
    <row r="303" spans="1:12" x14ac:dyDescent="0.25">
      <c r="A303" s="21">
        <v>44387</v>
      </c>
      <c r="B303">
        <v>2021</v>
      </c>
      <c r="C303" t="s">
        <v>11</v>
      </c>
      <c r="D303" t="s">
        <v>12</v>
      </c>
      <c r="E303" t="s">
        <v>13</v>
      </c>
      <c r="F303" t="s">
        <v>64</v>
      </c>
      <c r="G303">
        <v>-5</v>
      </c>
      <c r="H303" t="s">
        <v>71</v>
      </c>
      <c r="I303">
        <v>0</v>
      </c>
      <c r="J303">
        <v>5</v>
      </c>
      <c r="K303">
        <v>-5</v>
      </c>
      <c r="L303" t="s">
        <v>94</v>
      </c>
    </row>
    <row r="304" spans="1:12" x14ac:dyDescent="0.25">
      <c r="A304" s="21">
        <v>44388</v>
      </c>
      <c r="B304">
        <v>2021</v>
      </c>
      <c r="C304" t="s">
        <v>11</v>
      </c>
      <c r="D304" t="s">
        <v>12</v>
      </c>
      <c r="E304" t="s">
        <v>13</v>
      </c>
      <c r="F304" t="s">
        <v>64</v>
      </c>
      <c r="G304">
        <v>-5</v>
      </c>
      <c r="H304" t="s">
        <v>71</v>
      </c>
      <c r="I304">
        <v>0</v>
      </c>
      <c r="J304">
        <v>5</v>
      </c>
      <c r="K304">
        <v>-5</v>
      </c>
      <c r="L304" t="s">
        <v>94</v>
      </c>
    </row>
    <row r="305" spans="1:12" x14ac:dyDescent="0.25">
      <c r="A305" s="21">
        <v>44389</v>
      </c>
      <c r="B305">
        <v>2021</v>
      </c>
      <c r="C305" t="s">
        <v>25</v>
      </c>
      <c r="D305" t="s">
        <v>48</v>
      </c>
      <c r="E305" t="s">
        <v>20</v>
      </c>
      <c r="F305" t="s">
        <v>68</v>
      </c>
      <c r="G305">
        <v>-83.1</v>
      </c>
      <c r="H305" t="s">
        <v>74</v>
      </c>
      <c r="I305">
        <v>0</v>
      </c>
      <c r="J305">
        <v>83.1</v>
      </c>
      <c r="K305">
        <v>-83.1</v>
      </c>
      <c r="L305" t="s">
        <v>94</v>
      </c>
    </row>
    <row r="306" spans="1:12" x14ac:dyDescent="0.25">
      <c r="A306" s="21">
        <v>44389</v>
      </c>
      <c r="B306">
        <v>2021</v>
      </c>
      <c r="C306" t="s">
        <v>11</v>
      </c>
      <c r="D306" t="s">
        <v>12</v>
      </c>
      <c r="E306" t="s">
        <v>13</v>
      </c>
      <c r="F306" t="s">
        <v>64</v>
      </c>
      <c r="G306">
        <v>-5</v>
      </c>
      <c r="H306" t="s">
        <v>71</v>
      </c>
      <c r="I306">
        <v>0</v>
      </c>
      <c r="J306">
        <v>5</v>
      </c>
      <c r="K306">
        <v>-5</v>
      </c>
      <c r="L306" t="s">
        <v>94</v>
      </c>
    </row>
    <row r="307" spans="1:12" x14ac:dyDescent="0.25">
      <c r="A307" s="21">
        <v>44390</v>
      </c>
      <c r="B307">
        <v>2021</v>
      </c>
      <c r="C307" t="s">
        <v>11</v>
      </c>
      <c r="D307" t="s">
        <v>12</v>
      </c>
      <c r="E307" t="s">
        <v>13</v>
      </c>
      <c r="F307" t="s">
        <v>64</v>
      </c>
      <c r="G307">
        <v>-5</v>
      </c>
      <c r="H307" t="s">
        <v>71</v>
      </c>
      <c r="I307">
        <v>0</v>
      </c>
      <c r="J307">
        <v>5</v>
      </c>
      <c r="K307">
        <v>-5</v>
      </c>
      <c r="L307" t="s">
        <v>94</v>
      </c>
    </row>
    <row r="308" spans="1:12" x14ac:dyDescent="0.25">
      <c r="A308" s="21">
        <v>44391</v>
      </c>
      <c r="B308">
        <v>2021</v>
      </c>
      <c r="C308" t="s">
        <v>21</v>
      </c>
      <c r="D308" t="s">
        <v>22</v>
      </c>
      <c r="E308" t="s">
        <v>17</v>
      </c>
      <c r="F308" t="s">
        <v>64</v>
      </c>
      <c r="G308">
        <v>-141.1</v>
      </c>
      <c r="H308" t="s">
        <v>71</v>
      </c>
      <c r="I308">
        <v>0</v>
      </c>
      <c r="J308">
        <v>141.1</v>
      </c>
      <c r="K308">
        <v>-141.1</v>
      </c>
      <c r="L308" t="s">
        <v>94</v>
      </c>
    </row>
    <row r="309" spans="1:12" x14ac:dyDescent="0.25">
      <c r="A309" s="21">
        <v>44391</v>
      </c>
      <c r="B309">
        <v>2021</v>
      </c>
      <c r="C309" t="s">
        <v>11</v>
      </c>
      <c r="D309" t="s">
        <v>12</v>
      </c>
      <c r="E309" t="s">
        <v>13</v>
      </c>
      <c r="F309" t="s">
        <v>64</v>
      </c>
      <c r="G309">
        <v>-5</v>
      </c>
      <c r="H309" t="s">
        <v>71</v>
      </c>
      <c r="I309">
        <v>0</v>
      </c>
      <c r="J309">
        <v>5</v>
      </c>
      <c r="K309">
        <v>-5</v>
      </c>
      <c r="L309" t="s">
        <v>94</v>
      </c>
    </row>
    <row r="310" spans="1:12" x14ac:dyDescent="0.25">
      <c r="A310" s="21">
        <v>44392</v>
      </c>
      <c r="B310">
        <v>2021</v>
      </c>
      <c r="C310" t="s">
        <v>11</v>
      </c>
      <c r="D310" t="s">
        <v>12</v>
      </c>
      <c r="E310" t="s">
        <v>13</v>
      </c>
      <c r="F310" t="s">
        <v>64</v>
      </c>
      <c r="G310">
        <v>-5</v>
      </c>
      <c r="H310" t="s">
        <v>71</v>
      </c>
      <c r="I310">
        <v>0</v>
      </c>
      <c r="J310">
        <v>5</v>
      </c>
      <c r="K310">
        <v>-5</v>
      </c>
      <c r="L310" t="s">
        <v>94</v>
      </c>
    </row>
    <row r="311" spans="1:12" x14ac:dyDescent="0.25">
      <c r="A311" s="21">
        <v>44392</v>
      </c>
      <c r="B311">
        <v>2021</v>
      </c>
      <c r="C311" t="s">
        <v>26</v>
      </c>
      <c r="D311" t="s">
        <v>27</v>
      </c>
      <c r="E311" t="s">
        <v>28</v>
      </c>
      <c r="F311" t="s">
        <v>27</v>
      </c>
      <c r="G311">
        <v>-45.8</v>
      </c>
      <c r="H311" t="s">
        <v>74</v>
      </c>
      <c r="I311">
        <v>0</v>
      </c>
      <c r="J311">
        <v>45.8</v>
      </c>
      <c r="K311">
        <v>-45.8</v>
      </c>
      <c r="L311" t="s">
        <v>94</v>
      </c>
    </row>
    <row r="312" spans="1:12" x14ac:dyDescent="0.25">
      <c r="A312" s="21">
        <v>44392</v>
      </c>
      <c r="B312">
        <v>2021</v>
      </c>
      <c r="C312" t="s">
        <v>29</v>
      </c>
      <c r="D312" t="s">
        <v>30</v>
      </c>
      <c r="E312" t="s">
        <v>28</v>
      </c>
      <c r="F312" t="s">
        <v>67</v>
      </c>
      <c r="G312">
        <v>-103.80000000000001</v>
      </c>
      <c r="H312" t="s">
        <v>71</v>
      </c>
      <c r="I312">
        <v>0</v>
      </c>
      <c r="J312">
        <v>103.80000000000001</v>
      </c>
      <c r="K312">
        <v>-103.80000000000001</v>
      </c>
      <c r="L312" t="s">
        <v>94</v>
      </c>
    </row>
    <row r="313" spans="1:12" x14ac:dyDescent="0.25">
      <c r="A313" s="21">
        <v>44392</v>
      </c>
      <c r="B313">
        <v>2021</v>
      </c>
      <c r="C313" t="s">
        <v>31</v>
      </c>
      <c r="D313" t="s">
        <v>32</v>
      </c>
      <c r="E313" t="s">
        <v>13</v>
      </c>
      <c r="F313" t="s">
        <v>64</v>
      </c>
      <c r="G313">
        <v>-58</v>
      </c>
      <c r="H313" t="s">
        <v>71</v>
      </c>
      <c r="I313">
        <v>0</v>
      </c>
      <c r="J313">
        <v>58</v>
      </c>
      <c r="K313">
        <v>-58</v>
      </c>
      <c r="L313" t="s">
        <v>94</v>
      </c>
    </row>
    <row r="314" spans="1:12" x14ac:dyDescent="0.25">
      <c r="A314" s="21">
        <v>44393</v>
      </c>
      <c r="B314">
        <v>2021</v>
      </c>
      <c r="C314" t="s">
        <v>33</v>
      </c>
      <c r="D314" t="s">
        <v>34</v>
      </c>
      <c r="E314" t="s">
        <v>20</v>
      </c>
      <c r="F314" t="s">
        <v>68</v>
      </c>
      <c r="G314">
        <v>-34.200000000000003</v>
      </c>
      <c r="H314" t="s">
        <v>74</v>
      </c>
      <c r="I314">
        <v>0</v>
      </c>
      <c r="J314">
        <v>34.200000000000003</v>
      </c>
      <c r="K314">
        <v>-34.200000000000003</v>
      </c>
      <c r="L314" t="s">
        <v>94</v>
      </c>
    </row>
    <row r="315" spans="1:12" x14ac:dyDescent="0.25">
      <c r="A315" s="21">
        <v>44394</v>
      </c>
      <c r="B315">
        <v>2021</v>
      </c>
      <c r="C315" t="s">
        <v>35</v>
      </c>
      <c r="D315" t="s">
        <v>36</v>
      </c>
      <c r="E315" t="s">
        <v>37</v>
      </c>
      <c r="F315" t="s">
        <v>37</v>
      </c>
      <c r="G315">
        <v>200</v>
      </c>
      <c r="H315" t="s">
        <v>70</v>
      </c>
      <c r="I315">
        <v>200</v>
      </c>
      <c r="J315">
        <v>0</v>
      </c>
      <c r="K315">
        <v>200</v>
      </c>
      <c r="L315" t="s">
        <v>93</v>
      </c>
    </row>
    <row r="316" spans="1:12" x14ac:dyDescent="0.25">
      <c r="A316" s="21">
        <v>44394</v>
      </c>
      <c r="B316">
        <v>2021</v>
      </c>
      <c r="C316" t="s">
        <v>11</v>
      </c>
      <c r="D316" t="s">
        <v>12</v>
      </c>
      <c r="E316" t="s">
        <v>13</v>
      </c>
      <c r="F316" t="s">
        <v>64</v>
      </c>
      <c r="G316">
        <v>-5</v>
      </c>
      <c r="H316" t="s">
        <v>71</v>
      </c>
      <c r="I316">
        <v>0</v>
      </c>
      <c r="J316">
        <v>5</v>
      </c>
      <c r="K316">
        <v>-5</v>
      </c>
      <c r="L316" t="s">
        <v>94</v>
      </c>
    </row>
    <row r="317" spans="1:12" x14ac:dyDescent="0.25">
      <c r="A317" s="21">
        <v>44395</v>
      </c>
      <c r="B317">
        <v>2021</v>
      </c>
      <c r="C317" t="s">
        <v>11</v>
      </c>
      <c r="D317" t="s">
        <v>12</v>
      </c>
      <c r="E317" t="s">
        <v>13</v>
      </c>
      <c r="F317" t="s">
        <v>64</v>
      </c>
      <c r="G317">
        <v>-5</v>
      </c>
      <c r="H317" t="s">
        <v>71</v>
      </c>
      <c r="I317">
        <v>0</v>
      </c>
      <c r="J317">
        <v>5</v>
      </c>
      <c r="K317">
        <v>-5</v>
      </c>
      <c r="L317" t="s">
        <v>94</v>
      </c>
    </row>
    <row r="318" spans="1:12" x14ac:dyDescent="0.25">
      <c r="A318" s="21">
        <v>44395</v>
      </c>
      <c r="B318">
        <v>2021</v>
      </c>
      <c r="C318" t="s">
        <v>39</v>
      </c>
      <c r="D318" t="s">
        <v>39</v>
      </c>
      <c r="E318" t="s">
        <v>17</v>
      </c>
      <c r="F318" t="s">
        <v>69</v>
      </c>
      <c r="G318">
        <v>-40</v>
      </c>
      <c r="H318" t="s">
        <v>72</v>
      </c>
      <c r="I318">
        <v>0</v>
      </c>
      <c r="J318">
        <v>40</v>
      </c>
      <c r="K318">
        <v>-40</v>
      </c>
      <c r="L318" t="s">
        <v>94</v>
      </c>
    </row>
    <row r="319" spans="1:12" x14ac:dyDescent="0.25">
      <c r="A319" s="21">
        <v>44396</v>
      </c>
      <c r="B319">
        <v>2021</v>
      </c>
      <c r="C319" t="s">
        <v>40</v>
      </c>
      <c r="D319" t="s">
        <v>41</v>
      </c>
      <c r="E319" t="s">
        <v>28</v>
      </c>
      <c r="F319" t="s">
        <v>67</v>
      </c>
      <c r="G319">
        <v>-51.1</v>
      </c>
      <c r="H319" t="s">
        <v>71</v>
      </c>
      <c r="I319">
        <v>0</v>
      </c>
      <c r="J319">
        <v>51.1</v>
      </c>
      <c r="K319">
        <v>-51.1</v>
      </c>
      <c r="L319" t="s">
        <v>94</v>
      </c>
    </row>
    <row r="320" spans="1:12" x14ac:dyDescent="0.25">
      <c r="A320" s="21">
        <v>44396</v>
      </c>
      <c r="B320">
        <v>2021</v>
      </c>
      <c r="C320" t="s">
        <v>42</v>
      </c>
      <c r="D320" t="s">
        <v>27</v>
      </c>
      <c r="E320" t="s">
        <v>28</v>
      </c>
      <c r="F320" t="s">
        <v>27</v>
      </c>
      <c r="G320">
        <v>-35</v>
      </c>
      <c r="H320" t="s">
        <v>74</v>
      </c>
      <c r="I320">
        <v>0</v>
      </c>
      <c r="J320">
        <v>35</v>
      </c>
      <c r="K320">
        <v>-35</v>
      </c>
      <c r="L320" t="s">
        <v>94</v>
      </c>
    </row>
    <row r="321" spans="1:12" x14ac:dyDescent="0.25">
      <c r="A321" s="21">
        <v>44396</v>
      </c>
      <c r="B321">
        <v>2021</v>
      </c>
      <c r="C321" t="s">
        <v>11</v>
      </c>
      <c r="D321" t="s">
        <v>12</v>
      </c>
      <c r="E321" t="s">
        <v>13</v>
      </c>
      <c r="F321" t="s">
        <v>64</v>
      </c>
      <c r="G321">
        <v>-5</v>
      </c>
      <c r="H321" t="s">
        <v>71</v>
      </c>
      <c r="I321">
        <v>0</v>
      </c>
      <c r="J321">
        <v>5</v>
      </c>
      <c r="K321">
        <v>-5</v>
      </c>
      <c r="L321" t="s">
        <v>94</v>
      </c>
    </row>
    <row r="322" spans="1:12" x14ac:dyDescent="0.25">
      <c r="A322" s="21">
        <v>44397</v>
      </c>
      <c r="B322">
        <v>2021</v>
      </c>
      <c r="C322" t="s">
        <v>11</v>
      </c>
      <c r="D322" t="s">
        <v>12</v>
      </c>
      <c r="E322" t="s">
        <v>13</v>
      </c>
      <c r="F322" t="s">
        <v>64</v>
      </c>
      <c r="G322">
        <v>-5</v>
      </c>
      <c r="H322" t="s">
        <v>71</v>
      </c>
      <c r="I322">
        <v>0</v>
      </c>
      <c r="J322">
        <v>5</v>
      </c>
      <c r="K322">
        <v>-5</v>
      </c>
      <c r="L322" t="s">
        <v>94</v>
      </c>
    </row>
    <row r="323" spans="1:12" x14ac:dyDescent="0.25">
      <c r="A323" s="21">
        <v>44398</v>
      </c>
      <c r="B323">
        <v>2021</v>
      </c>
      <c r="C323" t="s">
        <v>11</v>
      </c>
      <c r="D323" t="s">
        <v>12</v>
      </c>
      <c r="E323" t="s">
        <v>13</v>
      </c>
      <c r="F323" t="s">
        <v>64</v>
      </c>
      <c r="G323">
        <v>-5</v>
      </c>
      <c r="H323" t="s">
        <v>71</v>
      </c>
      <c r="I323">
        <v>0</v>
      </c>
      <c r="J323">
        <v>5</v>
      </c>
      <c r="K323">
        <v>-5</v>
      </c>
      <c r="L323" t="s">
        <v>94</v>
      </c>
    </row>
    <row r="324" spans="1:12" x14ac:dyDescent="0.25">
      <c r="A324" s="21">
        <v>44398</v>
      </c>
      <c r="B324">
        <v>2021</v>
      </c>
      <c r="C324" t="s">
        <v>21</v>
      </c>
      <c r="D324" t="s">
        <v>22</v>
      </c>
      <c r="E324" t="s">
        <v>17</v>
      </c>
      <c r="F324" t="s">
        <v>64</v>
      </c>
      <c r="G324">
        <v>-176</v>
      </c>
      <c r="H324" t="s">
        <v>71</v>
      </c>
      <c r="I324">
        <v>0</v>
      </c>
      <c r="J324">
        <v>176</v>
      </c>
      <c r="K324">
        <v>-176</v>
      </c>
      <c r="L324" t="s">
        <v>94</v>
      </c>
    </row>
    <row r="325" spans="1:12" x14ac:dyDescent="0.25">
      <c r="A325" s="21">
        <v>44399</v>
      </c>
      <c r="B325">
        <v>2021</v>
      </c>
      <c r="C325" t="s">
        <v>43</v>
      </c>
      <c r="D325" t="s">
        <v>32</v>
      </c>
      <c r="E325" t="s">
        <v>13</v>
      </c>
      <c r="F325" t="s">
        <v>64</v>
      </c>
      <c r="G325">
        <v>-43.1</v>
      </c>
      <c r="H325" t="s">
        <v>71</v>
      </c>
      <c r="I325">
        <v>0</v>
      </c>
      <c r="J325">
        <v>43.1</v>
      </c>
      <c r="K325">
        <v>-43.1</v>
      </c>
      <c r="L325" t="s">
        <v>94</v>
      </c>
    </row>
    <row r="326" spans="1:12" x14ac:dyDescent="0.25">
      <c r="A326" s="21">
        <v>44400</v>
      </c>
      <c r="B326">
        <v>2021</v>
      </c>
      <c r="C326" t="s">
        <v>44</v>
      </c>
      <c r="D326" t="s">
        <v>32</v>
      </c>
      <c r="E326" t="s">
        <v>13</v>
      </c>
      <c r="F326" t="s">
        <v>64</v>
      </c>
      <c r="G326">
        <v>-18.2</v>
      </c>
      <c r="H326" t="s">
        <v>71</v>
      </c>
      <c r="I326">
        <v>0</v>
      </c>
      <c r="J326">
        <v>18.2</v>
      </c>
      <c r="K326">
        <v>-18.2</v>
      </c>
      <c r="L326" t="s">
        <v>94</v>
      </c>
    </row>
    <row r="327" spans="1:12" x14ac:dyDescent="0.25">
      <c r="A327" s="21">
        <v>44401</v>
      </c>
      <c r="B327">
        <v>2021</v>
      </c>
      <c r="C327" t="s">
        <v>45</v>
      </c>
      <c r="D327" t="s">
        <v>46</v>
      </c>
      <c r="E327" t="s">
        <v>47</v>
      </c>
      <c r="F327" t="s">
        <v>67</v>
      </c>
      <c r="G327">
        <v>-55</v>
      </c>
      <c r="H327" t="s">
        <v>71</v>
      </c>
      <c r="I327">
        <v>0</v>
      </c>
      <c r="J327">
        <v>55</v>
      </c>
      <c r="K327">
        <v>-55</v>
      </c>
      <c r="L327" t="s">
        <v>94</v>
      </c>
    </row>
    <row r="328" spans="1:12" x14ac:dyDescent="0.25">
      <c r="A328" s="21">
        <v>44401</v>
      </c>
      <c r="B328">
        <v>2021</v>
      </c>
      <c r="C328" t="s">
        <v>25</v>
      </c>
      <c r="D328" t="s">
        <v>48</v>
      </c>
      <c r="E328" t="s">
        <v>20</v>
      </c>
      <c r="F328" t="s">
        <v>68</v>
      </c>
      <c r="G328">
        <v>-68.800000000000011</v>
      </c>
      <c r="H328" t="s">
        <v>74</v>
      </c>
      <c r="I328">
        <v>0</v>
      </c>
      <c r="J328">
        <v>68.800000000000011</v>
      </c>
      <c r="K328">
        <v>-68.800000000000011</v>
      </c>
      <c r="L328" t="s">
        <v>94</v>
      </c>
    </row>
    <row r="329" spans="1:12" x14ac:dyDescent="0.25">
      <c r="A329" s="21">
        <v>44401</v>
      </c>
      <c r="B329">
        <v>2021</v>
      </c>
      <c r="C329" t="s">
        <v>11</v>
      </c>
      <c r="D329" t="s">
        <v>12</v>
      </c>
      <c r="E329" t="s">
        <v>13</v>
      </c>
      <c r="F329" t="s">
        <v>64</v>
      </c>
      <c r="G329">
        <v>-5</v>
      </c>
      <c r="H329" t="s">
        <v>71</v>
      </c>
      <c r="I329">
        <v>0</v>
      </c>
      <c r="J329">
        <v>5</v>
      </c>
      <c r="K329">
        <v>-5</v>
      </c>
      <c r="L329" t="s">
        <v>94</v>
      </c>
    </row>
    <row r="330" spans="1:12" x14ac:dyDescent="0.25">
      <c r="A330" s="21">
        <v>44402</v>
      </c>
      <c r="B330">
        <v>2021</v>
      </c>
      <c r="C330" t="s">
        <v>11</v>
      </c>
      <c r="D330" t="s">
        <v>12</v>
      </c>
      <c r="E330" t="s">
        <v>13</v>
      </c>
      <c r="F330" t="s">
        <v>64</v>
      </c>
      <c r="G330">
        <v>-5</v>
      </c>
      <c r="H330" t="s">
        <v>71</v>
      </c>
      <c r="I330">
        <v>0</v>
      </c>
      <c r="J330">
        <v>5</v>
      </c>
      <c r="K330">
        <v>-5</v>
      </c>
      <c r="L330" t="s">
        <v>94</v>
      </c>
    </row>
    <row r="331" spans="1:12" x14ac:dyDescent="0.25">
      <c r="A331" s="21">
        <v>44403</v>
      </c>
      <c r="B331">
        <v>2021</v>
      </c>
      <c r="C331" t="s">
        <v>11</v>
      </c>
      <c r="D331" t="s">
        <v>12</v>
      </c>
      <c r="E331" t="s">
        <v>13</v>
      </c>
      <c r="F331" t="s">
        <v>64</v>
      </c>
      <c r="G331">
        <v>-5</v>
      </c>
      <c r="H331" t="s">
        <v>71</v>
      </c>
      <c r="I331">
        <v>0</v>
      </c>
      <c r="J331">
        <v>5</v>
      </c>
      <c r="K331">
        <v>-5</v>
      </c>
      <c r="L331" t="s">
        <v>94</v>
      </c>
    </row>
    <row r="332" spans="1:12" x14ac:dyDescent="0.25">
      <c r="A332" s="21">
        <v>44404</v>
      </c>
      <c r="B332">
        <v>2021</v>
      </c>
      <c r="C332" t="s">
        <v>11</v>
      </c>
      <c r="D332" t="s">
        <v>12</v>
      </c>
      <c r="E332" t="s">
        <v>13</v>
      </c>
      <c r="F332" t="s">
        <v>64</v>
      </c>
      <c r="G332">
        <v>-5</v>
      </c>
      <c r="H332" t="s">
        <v>71</v>
      </c>
      <c r="I332">
        <v>0</v>
      </c>
      <c r="J332">
        <v>5</v>
      </c>
      <c r="K332">
        <v>-5</v>
      </c>
      <c r="L332" t="s">
        <v>94</v>
      </c>
    </row>
    <row r="333" spans="1:12" x14ac:dyDescent="0.25">
      <c r="A333" s="21">
        <v>44405</v>
      </c>
      <c r="B333">
        <v>2021</v>
      </c>
      <c r="C333" t="s">
        <v>11</v>
      </c>
      <c r="D333" t="s">
        <v>12</v>
      </c>
      <c r="E333" t="s">
        <v>13</v>
      </c>
      <c r="F333" t="s">
        <v>64</v>
      </c>
      <c r="G333">
        <v>-5</v>
      </c>
      <c r="H333" t="s">
        <v>71</v>
      </c>
      <c r="I333">
        <v>0</v>
      </c>
      <c r="J333">
        <v>5</v>
      </c>
      <c r="K333">
        <v>-5</v>
      </c>
      <c r="L333" t="s">
        <v>94</v>
      </c>
    </row>
    <row r="334" spans="1:12" x14ac:dyDescent="0.25">
      <c r="A334" s="21">
        <v>44405</v>
      </c>
      <c r="B334">
        <v>2021</v>
      </c>
      <c r="C334" t="s">
        <v>21</v>
      </c>
      <c r="D334" t="s">
        <v>22</v>
      </c>
      <c r="E334" t="s">
        <v>17</v>
      </c>
      <c r="F334" t="s">
        <v>64</v>
      </c>
      <c r="G334">
        <v>-193</v>
      </c>
      <c r="H334" t="s">
        <v>71</v>
      </c>
      <c r="I334">
        <v>0</v>
      </c>
      <c r="J334">
        <v>193</v>
      </c>
      <c r="K334">
        <v>-193</v>
      </c>
      <c r="L334" t="s">
        <v>94</v>
      </c>
    </row>
    <row r="335" spans="1:12" x14ac:dyDescent="0.25">
      <c r="A335" s="21">
        <v>44406</v>
      </c>
      <c r="B335">
        <v>2021</v>
      </c>
      <c r="C335" t="s">
        <v>49</v>
      </c>
      <c r="D335" t="s">
        <v>30</v>
      </c>
      <c r="E335" t="s">
        <v>28</v>
      </c>
      <c r="F335" t="s">
        <v>67</v>
      </c>
      <c r="G335">
        <v>-130.80000000000001</v>
      </c>
      <c r="H335" t="s">
        <v>71</v>
      </c>
      <c r="I335">
        <v>0</v>
      </c>
      <c r="J335">
        <v>130.80000000000001</v>
      </c>
      <c r="K335">
        <v>-130.80000000000001</v>
      </c>
      <c r="L335" t="s">
        <v>94</v>
      </c>
    </row>
    <row r="336" spans="1:12" x14ac:dyDescent="0.25">
      <c r="A336" s="21">
        <v>44406</v>
      </c>
      <c r="B336">
        <v>2021</v>
      </c>
      <c r="C336" t="s">
        <v>58</v>
      </c>
      <c r="D336" t="s">
        <v>59</v>
      </c>
      <c r="E336" t="s">
        <v>28</v>
      </c>
      <c r="F336" t="s">
        <v>65</v>
      </c>
      <c r="G336">
        <v>-181.39999999999998</v>
      </c>
      <c r="H336" t="s">
        <v>72</v>
      </c>
      <c r="I336">
        <v>0</v>
      </c>
      <c r="J336">
        <v>181.39999999999998</v>
      </c>
      <c r="K336">
        <v>-181.39999999999998</v>
      </c>
      <c r="L336" t="s">
        <v>94</v>
      </c>
    </row>
    <row r="337" spans="1:12" x14ac:dyDescent="0.25">
      <c r="A337" s="21">
        <v>44407</v>
      </c>
      <c r="B337">
        <v>2021</v>
      </c>
      <c r="C337" t="s">
        <v>29</v>
      </c>
      <c r="D337" t="s">
        <v>30</v>
      </c>
      <c r="E337" t="s">
        <v>28</v>
      </c>
      <c r="F337" t="s">
        <v>67</v>
      </c>
      <c r="G337">
        <v>-151.19999999999999</v>
      </c>
      <c r="H337" t="s">
        <v>71</v>
      </c>
      <c r="I337">
        <v>0</v>
      </c>
      <c r="J337">
        <v>151.19999999999999</v>
      </c>
      <c r="K337">
        <v>-151.19999999999999</v>
      </c>
      <c r="L337" t="s">
        <v>94</v>
      </c>
    </row>
    <row r="338" spans="1:12" x14ac:dyDescent="0.25">
      <c r="A338" s="21">
        <v>44407</v>
      </c>
      <c r="B338">
        <v>2021</v>
      </c>
      <c r="C338" t="s">
        <v>33</v>
      </c>
      <c r="D338" t="s">
        <v>34</v>
      </c>
      <c r="E338" t="s">
        <v>20</v>
      </c>
      <c r="F338" t="s">
        <v>68</v>
      </c>
      <c r="G338">
        <v>-29.300000000000004</v>
      </c>
      <c r="H338" t="s">
        <v>74</v>
      </c>
      <c r="I338">
        <v>0</v>
      </c>
      <c r="J338">
        <v>29.300000000000004</v>
      </c>
      <c r="K338">
        <v>-29.300000000000004</v>
      </c>
      <c r="L338" t="s">
        <v>94</v>
      </c>
    </row>
    <row r="339" spans="1:12" x14ac:dyDescent="0.25">
      <c r="A339" s="21">
        <v>44407</v>
      </c>
      <c r="B339">
        <v>2021</v>
      </c>
      <c r="C339" t="s">
        <v>56</v>
      </c>
      <c r="D339" t="s">
        <v>32</v>
      </c>
      <c r="E339" t="s">
        <v>13</v>
      </c>
      <c r="F339" t="s">
        <v>64</v>
      </c>
      <c r="G339">
        <v>-15</v>
      </c>
      <c r="H339" t="s">
        <v>71</v>
      </c>
      <c r="I339">
        <v>0</v>
      </c>
      <c r="J339">
        <v>15</v>
      </c>
      <c r="K339">
        <v>-15</v>
      </c>
      <c r="L339" t="s">
        <v>94</v>
      </c>
    </row>
    <row r="340" spans="1:12" x14ac:dyDescent="0.25">
      <c r="A340" s="21">
        <v>44408</v>
      </c>
      <c r="B340">
        <v>2021</v>
      </c>
      <c r="C340" t="s">
        <v>11</v>
      </c>
      <c r="D340" t="s">
        <v>12</v>
      </c>
      <c r="E340" t="s">
        <v>13</v>
      </c>
      <c r="F340" t="s">
        <v>64</v>
      </c>
      <c r="G340">
        <v>-5</v>
      </c>
      <c r="H340" t="s">
        <v>71</v>
      </c>
      <c r="I340">
        <v>0</v>
      </c>
      <c r="J340">
        <v>5</v>
      </c>
      <c r="K340">
        <v>-5</v>
      </c>
      <c r="L340" t="s">
        <v>94</v>
      </c>
    </row>
    <row r="341" spans="1:12" x14ac:dyDescent="0.25">
      <c r="A341" s="21">
        <v>44410</v>
      </c>
      <c r="B341">
        <v>2021</v>
      </c>
      <c r="C341" t="s">
        <v>11</v>
      </c>
      <c r="D341" t="s">
        <v>12</v>
      </c>
      <c r="E341" t="s">
        <v>13</v>
      </c>
      <c r="F341" t="s">
        <v>64</v>
      </c>
      <c r="G341">
        <v>-5</v>
      </c>
      <c r="H341" t="s">
        <v>71</v>
      </c>
      <c r="I341">
        <v>0</v>
      </c>
      <c r="J341">
        <v>5</v>
      </c>
      <c r="K341">
        <v>-5</v>
      </c>
      <c r="L341" t="s">
        <v>94</v>
      </c>
    </row>
    <row r="342" spans="1:12" x14ac:dyDescent="0.25">
      <c r="A342" s="21">
        <v>44410</v>
      </c>
      <c r="B342">
        <v>2021</v>
      </c>
      <c r="C342" t="s">
        <v>7</v>
      </c>
      <c r="D342" t="s">
        <v>8</v>
      </c>
      <c r="E342" t="s">
        <v>9</v>
      </c>
      <c r="F342" t="s">
        <v>9</v>
      </c>
      <c r="G342">
        <v>5000</v>
      </c>
      <c r="H342" t="s">
        <v>70</v>
      </c>
      <c r="I342">
        <v>5000</v>
      </c>
      <c r="J342">
        <v>0</v>
      </c>
      <c r="K342">
        <v>5000</v>
      </c>
      <c r="L342" t="s">
        <v>93</v>
      </c>
    </row>
    <row r="343" spans="1:12" x14ac:dyDescent="0.25">
      <c r="A343" s="21">
        <v>44411</v>
      </c>
      <c r="B343">
        <v>2021</v>
      </c>
      <c r="C343" t="s">
        <v>11</v>
      </c>
      <c r="D343" t="s">
        <v>12</v>
      </c>
      <c r="E343" t="s">
        <v>13</v>
      </c>
      <c r="F343" t="s">
        <v>64</v>
      </c>
      <c r="G343">
        <v>-5</v>
      </c>
      <c r="H343" t="s">
        <v>71</v>
      </c>
      <c r="I343">
        <v>0</v>
      </c>
      <c r="J343">
        <v>5</v>
      </c>
      <c r="K343">
        <v>-5</v>
      </c>
      <c r="L343" t="s">
        <v>94</v>
      </c>
    </row>
    <row r="344" spans="1:12" x14ac:dyDescent="0.25">
      <c r="A344" s="21">
        <v>44413</v>
      </c>
      <c r="B344">
        <v>2021</v>
      </c>
      <c r="C344" t="s">
        <v>15</v>
      </c>
      <c r="D344" t="s">
        <v>16</v>
      </c>
      <c r="E344" t="s">
        <v>17</v>
      </c>
      <c r="F344" t="s">
        <v>65</v>
      </c>
      <c r="G344">
        <v>-900</v>
      </c>
      <c r="H344" t="s">
        <v>72</v>
      </c>
      <c r="I344">
        <v>0</v>
      </c>
      <c r="J344">
        <v>900</v>
      </c>
      <c r="K344">
        <v>-900</v>
      </c>
      <c r="L344" t="s">
        <v>94</v>
      </c>
    </row>
    <row r="345" spans="1:12" x14ac:dyDescent="0.25">
      <c r="A345" s="21">
        <v>44413</v>
      </c>
      <c r="B345">
        <v>2021</v>
      </c>
      <c r="C345" t="s">
        <v>18</v>
      </c>
      <c r="D345" t="s">
        <v>19</v>
      </c>
      <c r="E345" t="s">
        <v>20</v>
      </c>
      <c r="F345" t="s">
        <v>66</v>
      </c>
      <c r="G345">
        <v>-150</v>
      </c>
      <c r="H345" t="s">
        <v>73</v>
      </c>
      <c r="I345">
        <v>0</v>
      </c>
      <c r="J345">
        <v>150</v>
      </c>
      <c r="K345">
        <v>-150</v>
      </c>
      <c r="L345" t="s">
        <v>94</v>
      </c>
    </row>
    <row r="346" spans="1:12" x14ac:dyDescent="0.25">
      <c r="A346" s="21">
        <v>44413</v>
      </c>
      <c r="B346">
        <v>2021</v>
      </c>
      <c r="C346" t="s">
        <v>11</v>
      </c>
      <c r="D346" t="s">
        <v>12</v>
      </c>
      <c r="E346" t="s">
        <v>13</v>
      </c>
      <c r="F346" t="s">
        <v>64</v>
      </c>
      <c r="G346">
        <v>-5</v>
      </c>
      <c r="H346" t="s">
        <v>71</v>
      </c>
      <c r="I346">
        <v>0</v>
      </c>
      <c r="J346">
        <v>5</v>
      </c>
      <c r="K346">
        <v>-5</v>
      </c>
      <c r="L346" t="s">
        <v>94</v>
      </c>
    </row>
    <row r="347" spans="1:12" x14ac:dyDescent="0.25">
      <c r="A347" s="21">
        <v>44413</v>
      </c>
      <c r="B347">
        <v>2021</v>
      </c>
      <c r="C347" t="s">
        <v>11</v>
      </c>
      <c r="D347" t="s">
        <v>12</v>
      </c>
      <c r="E347" t="s">
        <v>13</v>
      </c>
      <c r="F347" t="s">
        <v>64</v>
      </c>
      <c r="G347">
        <v>-5</v>
      </c>
      <c r="H347" t="s">
        <v>71</v>
      </c>
      <c r="I347">
        <v>0</v>
      </c>
      <c r="J347">
        <v>5</v>
      </c>
      <c r="K347">
        <v>-5</v>
      </c>
      <c r="L347" t="s">
        <v>94</v>
      </c>
    </row>
    <row r="348" spans="1:12" x14ac:dyDescent="0.25">
      <c r="A348" s="21">
        <v>44414</v>
      </c>
      <c r="B348">
        <v>2021</v>
      </c>
      <c r="C348" t="s">
        <v>11</v>
      </c>
      <c r="D348" t="s">
        <v>12</v>
      </c>
      <c r="E348" t="s">
        <v>13</v>
      </c>
      <c r="F348" t="s">
        <v>64</v>
      </c>
      <c r="G348">
        <v>-5</v>
      </c>
      <c r="H348" t="s">
        <v>71</v>
      </c>
      <c r="I348">
        <v>0</v>
      </c>
      <c r="J348">
        <v>5</v>
      </c>
      <c r="K348">
        <v>-5</v>
      </c>
      <c r="L348" t="s">
        <v>94</v>
      </c>
    </row>
    <row r="349" spans="1:12" x14ac:dyDescent="0.25">
      <c r="A349" s="21">
        <v>44415</v>
      </c>
      <c r="B349">
        <v>2021</v>
      </c>
      <c r="C349" t="s">
        <v>11</v>
      </c>
      <c r="D349" t="s">
        <v>12</v>
      </c>
      <c r="E349" t="s">
        <v>13</v>
      </c>
      <c r="F349" t="s">
        <v>64</v>
      </c>
      <c r="G349">
        <v>-5</v>
      </c>
      <c r="H349" t="s">
        <v>71</v>
      </c>
      <c r="I349">
        <v>0</v>
      </c>
      <c r="J349">
        <v>5</v>
      </c>
      <c r="K349">
        <v>-5</v>
      </c>
      <c r="L349" t="s">
        <v>94</v>
      </c>
    </row>
    <row r="350" spans="1:12" x14ac:dyDescent="0.25">
      <c r="A350" s="21">
        <v>44415</v>
      </c>
      <c r="B350">
        <v>2021</v>
      </c>
      <c r="C350" t="s">
        <v>21</v>
      </c>
      <c r="D350" t="s">
        <v>22</v>
      </c>
      <c r="E350" t="s">
        <v>17</v>
      </c>
      <c r="F350" t="s">
        <v>64</v>
      </c>
      <c r="G350">
        <v>-137</v>
      </c>
      <c r="H350" t="s">
        <v>71</v>
      </c>
      <c r="I350">
        <v>0</v>
      </c>
      <c r="J350">
        <v>137</v>
      </c>
      <c r="K350">
        <v>-137</v>
      </c>
      <c r="L350" t="s">
        <v>94</v>
      </c>
    </row>
    <row r="351" spans="1:12" x14ac:dyDescent="0.25">
      <c r="A351" s="21">
        <v>44418</v>
      </c>
      <c r="B351">
        <v>2021</v>
      </c>
      <c r="C351" t="s">
        <v>23</v>
      </c>
      <c r="D351" t="s">
        <v>24</v>
      </c>
      <c r="E351" t="s">
        <v>17</v>
      </c>
      <c r="F351" t="s">
        <v>64</v>
      </c>
      <c r="G351">
        <v>-57</v>
      </c>
      <c r="H351" t="s">
        <v>71</v>
      </c>
      <c r="I351">
        <v>0</v>
      </c>
      <c r="J351">
        <v>57</v>
      </c>
      <c r="K351">
        <v>-57</v>
      </c>
      <c r="L351" t="s">
        <v>94</v>
      </c>
    </row>
    <row r="352" spans="1:12" x14ac:dyDescent="0.25">
      <c r="A352" s="21">
        <v>44418</v>
      </c>
      <c r="B352">
        <v>2021</v>
      </c>
      <c r="C352" t="s">
        <v>11</v>
      </c>
      <c r="D352" t="s">
        <v>12</v>
      </c>
      <c r="E352" t="s">
        <v>13</v>
      </c>
      <c r="F352" t="s">
        <v>64</v>
      </c>
      <c r="G352">
        <v>-5</v>
      </c>
      <c r="H352" t="s">
        <v>71</v>
      </c>
      <c r="I352">
        <v>0</v>
      </c>
      <c r="J352">
        <v>5</v>
      </c>
      <c r="K352">
        <v>-5</v>
      </c>
      <c r="L352" t="s">
        <v>94</v>
      </c>
    </row>
    <row r="353" spans="1:12" x14ac:dyDescent="0.25">
      <c r="A353" s="21">
        <v>44419</v>
      </c>
      <c r="B353">
        <v>2021</v>
      </c>
      <c r="C353" t="s">
        <v>11</v>
      </c>
      <c r="D353" t="s">
        <v>12</v>
      </c>
      <c r="E353" t="s">
        <v>13</v>
      </c>
      <c r="F353" t="s">
        <v>64</v>
      </c>
      <c r="G353">
        <v>-5</v>
      </c>
      <c r="H353" t="s">
        <v>71</v>
      </c>
      <c r="I353">
        <v>0</v>
      </c>
      <c r="J353">
        <v>5</v>
      </c>
      <c r="K353">
        <v>-5</v>
      </c>
      <c r="L353" t="s">
        <v>94</v>
      </c>
    </row>
    <row r="354" spans="1:12" x14ac:dyDescent="0.25">
      <c r="A354" s="21">
        <v>44420</v>
      </c>
      <c r="B354">
        <v>2021</v>
      </c>
      <c r="C354" t="s">
        <v>25</v>
      </c>
      <c r="D354" t="s">
        <v>48</v>
      </c>
      <c r="E354" t="s">
        <v>20</v>
      </c>
      <c r="F354" t="s">
        <v>68</v>
      </c>
      <c r="G354">
        <v>-84.199999999999989</v>
      </c>
      <c r="H354" t="s">
        <v>74</v>
      </c>
      <c r="I354">
        <v>0</v>
      </c>
      <c r="J354">
        <v>84.199999999999989</v>
      </c>
      <c r="K354">
        <v>-84.199999999999989</v>
      </c>
      <c r="L354" t="s">
        <v>94</v>
      </c>
    </row>
    <row r="355" spans="1:12" x14ac:dyDescent="0.25">
      <c r="A355" s="21">
        <v>44420</v>
      </c>
      <c r="B355">
        <v>2021</v>
      </c>
      <c r="C355" t="s">
        <v>11</v>
      </c>
      <c r="D355" t="s">
        <v>12</v>
      </c>
      <c r="E355" t="s">
        <v>13</v>
      </c>
      <c r="F355" t="s">
        <v>64</v>
      </c>
      <c r="G355">
        <v>-5</v>
      </c>
      <c r="H355" t="s">
        <v>71</v>
      </c>
      <c r="I355">
        <v>0</v>
      </c>
      <c r="J355">
        <v>5</v>
      </c>
      <c r="K355">
        <v>-5</v>
      </c>
      <c r="L355" t="s">
        <v>94</v>
      </c>
    </row>
    <row r="356" spans="1:12" x14ac:dyDescent="0.25">
      <c r="A356" s="21">
        <v>44421</v>
      </c>
      <c r="B356">
        <v>2021</v>
      </c>
      <c r="C356" t="s">
        <v>11</v>
      </c>
      <c r="D356" t="s">
        <v>12</v>
      </c>
      <c r="E356" t="s">
        <v>13</v>
      </c>
      <c r="F356" t="s">
        <v>64</v>
      </c>
      <c r="G356">
        <v>-5</v>
      </c>
      <c r="H356" t="s">
        <v>71</v>
      </c>
      <c r="I356">
        <v>0</v>
      </c>
      <c r="J356">
        <v>5</v>
      </c>
      <c r="K356">
        <v>-5</v>
      </c>
      <c r="L356" t="s">
        <v>94</v>
      </c>
    </row>
    <row r="357" spans="1:12" x14ac:dyDescent="0.25">
      <c r="A357" s="21">
        <v>44422</v>
      </c>
      <c r="B357">
        <v>2021</v>
      </c>
      <c r="C357" t="s">
        <v>21</v>
      </c>
      <c r="D357" t="s">
        <v>22</v>
      </c>
      <c r="E357" t="s">
        <v>17</v>
      </c>
      <c r="F357" t="s">
        <v>64</v>
      </c>
      <c r="G357">
        <v>-142.1</v>
      </c>
      <c r="H357" t="s">
        <v>71</v>
      </c>
      <c r="I357">
        <v>0</v>
      </c>
      <c r="J357">
        <v>142.1</v>
      </c>
      <c r="K357">
        <v>-142.1</v>
      </c>
      <c r="L357" t="s">
        <v>94</v>
      </c>
    </row>
    <row r="358" spans="1:12" x14ac:dyDescent="0.25">
      <c r="A358" s="21">
        <v>44422</v>
      </c>
      <c r="B358">
        <v>2021</v>
      </c>
      <c r="C358" t="s">
        <v>11</v>
      </c>
      <c r="D358" t="s">
        <v>12</v>
      </c>
      <c r="E358" t="s">
        <v>13</v>
      </c>
      <c r="F358" t="s">
        <v>64</v>
      </c>
      <c r="G358">
        <v>-5</v>
      </c>
      <c r="H358" t="s">
        <v>71</v>
      </c>
      <c r="I358">
        <v>0</v>
      </c>
      <c r="J358">
        <v>5</v>
      </c>
      <c r="K358">
        <v>-5</v>
      </c>
      <c r="L358" t="s">
        <v>94</v>
      </c>
    </row>
    <row r="359" spans="1:12" x14ac:dyDescent="0.25">
      <c r="A359" s="21">
        <v>44423</v>
      </c>
      <c r="B359">
        <v>2021</v>
      </c>
      <c r="C359" t="s">
        <v>11</v>
      </c>
      <c r="D359" t="s">
        <v>12</v>
      </c>
      <c r="E359" t="s">
        <v>13</v>
      </c>
      <c r="F359" t="s">
        <v>64</v>
      </c>
      <c r="G359">
        <v>-5</v>
      </c>
      <c r="H359" t="s">
        <v>71</v>
      </c>
      <c r="I359">
        <v>0</v>
      </c>
      <c r="J359">
        <v>5</v>
      </c>
      <c r="K359">
        <v>-5</v>
      </c>
      <c r="L359" t="s">
        <v>94</v>
      </c>
    </row>
    <row r="360" spans="1:12" x14ac:dyDescent="0.25">
      <c r="A360" s="21">
        <v>44423</v>
      </c>
      <c r="B360">
        <v>2021</v>
      </c>
      <c r="C360" t="s">
        <v>26</v>
      </c>
      <c r="D360" t="s">
        <v>27</v>
      </c>
      <c r="E360" t="s">
        <v>28</v>
      </c>
      <c r="F360" t="s">
        <v>27</v>
      </c>
      <c r="G360">
        <v>-46.8</v>
      </c>
      <c r="H360" t="s">
        <v>74</v>
      </c>
      <c r="I360">
        <v>0</v>
      </c>
      <c r="J360">
        <v>46.8</v>
      </c>
      <c r="K360">
        <v>-46.8</v>
      </c>
      <c r="L360" t="s">
        <v>94</v>
      </c>
    </row>
    <row r="361" spans="1:12" x14ac:dyDescent="0.25">
      <c r="A361" s="21">
        <v>44423</v>
      </c>
      <c r="B361">
        <v>2021</v>
      </c>
      <c r="C361" t="s">
        <v>29</v>
      </c>
      <c r="D361" t="s">
        <v>30</v>
      </c>
      <c r="E361" t="s">
        <v>28</v>
      </c>
      <c r="F361" t="s">
        <v>67</v>
      </c>
      <c r="G361">
        <v>-104.70000000000002</v>
      </c>
      <c r="H361" t="s">
        <v>71</v>
      </c>
      <c r="I361">
        <v>0</v>
      </c>
      <c r="J361">
        <v>104.70000000000002</v>
      </c>
      <c r="K361">
        <v>-104.70000000000002</v>
      </c>
      <c r="L361" t="s">
        <v>94</v>
      </c>
    </row>
    <row r="362" spans="1:12" x14ac:dyDescent="0.25">
      <c r="A362" s="21">
        <v>44423</v>
      </c>
      <c r="B362">
        <v>2021</v>
      </c>
      <c r="C362" t="s">
        <v>31</v>
      </c>
      <c r="D362" t="s">
        <v>32</v>
      </c>
      <c r="E362" t="s">
        <v>13</v>
      </c>
      <c r="F362" t="s">
        <v>64</v>
      </c>
      <c r="G362">
        <v>-59.1</v>
      </c>
      <c r="H362" t="s">
        <v>71</v>
      </c>
      <c r="I362">
        <v>0</v>
      </c>
      <c r="J362">
        <v>59.1</v>
      </c>
      <c r="K362">
        <v>-59.1</v>
      </c>
      <c r="L362" t="s">
        <v>94</v>
      </c>
    </row>
    <row r="363" spans="1:12" x14ac:dyDescent="0.25">
      <c r="A363" s="21">
        <v>44424</v>
      </c>
      <c r="B363">
        <v>2021</v>
      </c>
      <c r="C363" t="s">
        <v>33</v>
      </c>
      <c r="D363" t="s">
        <v>34</v>
      </c>
      <c r="E363" t="s">
        <v>20</v>
      </c>
      <c r="F363" t="s">
        <v>68</v>
      </c>
      <c r="G363">
        <v>-35.1</v>
      </c>
      <c r="H363" t="s">
        <v>74</v>
      </c>
      <c r="I363">
        <v>0</v>
      </c>
      <c r="J363">
        <v>35.1</v>
      </c>
      <c r="K363">
        <v>-35.1</v>
      </c>
      <c r="L363" t="s">
        <v>94</v>
      </c>
    </row>
    <row r="364" spans="1:12" x14ac:dyDescent="0.25">
      <c r="A364" s="21">
        <v>44425</v>
      </c>
      <c r="B364">
        <v>2021</v>
      </c>
      <c r="C364" t="s">
        <v>35</v>
      </c>
      <c r="D364" t="s">
        <v>36</v>
      </c>
      <c r="E364" t="s">
        <v>37</v>
      </c>
      <c r="F364" t="s">
        <v>37</v>
      </c>
      <c r="G364">
        <v>800</v>
      </c>
      <c r="H364" t="s">
        <v>70</v>
      </c>
      <c r="I364">
        <v>800</v>
      </c>
      <c r="J364">
        <v>0</v>
      </c>
      <c r="K364">
        <v>800</v>
      </c>
      <c r="L364" t="s">
        <v>93</v>
      </c>
    </row>
    <row r="365" spans="1:12" x14ac:dyDescent="0.25">
      <c r="A365" s="21">
        <v>44425</v>
      </c>
      <c r="B365">
        <v>2021</v>
      </c>
      <c r="C365" t="s">
        <v>11</v>
      </c>
      <c r="D365" t="s">
        <v>12</v>
      </c>
      <c r="E365" t="s">
        <v>13</v>
      </c>
      <c r="F365" t="s">
        <v>64</v>
      </c>
      <c r="G365">
        <v>-5</v>
      </c>
      <c r="H365" t="s">
        <v>71</v>
      </c>
      <c r="I365">
        <v>0</v>
      </c>
      <c r="J365">
        <v>5</v>
      </c>
      <c r="K365">
        <v>-5</v>
      </c>
      <c r="L365" t="s">
        <v>94</v>
      </c>
    </row>
    <row r="366" spans="1:12" x14ac:dyDescent="0.25">
      <c r="A366" s="21">
        <v>44426</v>
      </c>
      <c r="B366">
        <v>2021</v>
      </c>
      <c r="C366" t="s">
        <v>11</v>
      </c>
      <c r="D366" t="s">
        <v>12</v>
      </c>
      <c r="E366" t="s">
        <v>13</v>
      </c>
      <c r="F366" t="s">
        <v>64</v>
      </c>
      <c r="G366">
        <v>-5</v>
      </c>
      <c r="H366" t="s">
        <v>71</v>
      </c>
      <c r="I366">
        <v>0</v>
      </c>
      <c r="J366">
        <v>5</v>
      </c>
      <c r="K366">
        <v>-5</v>
      </c>
      <c r="L366" t="s">
        <v>94</v>
      </c>
    </row>
    <row r="367" spans="1:12" x14ac:dyDescent="0.25">
      <c r="A367" s="21">
        <v>44426</v>
      </c>
      <c r="B367">
        <v>2021</v>
      </c>
      <c r="C367" t="s">
        <v>39</v>
      </c>
      <c r="D367" t="s">
        <v>39</v>
      </c>
      <c r="E367" t="s">
        <v>17</v>
      </c>
      <c r="F367" t="s">
        <v>69</v>
      </c>
      <c r="G367">
        <v>-40</v>
      </c>
      <c r="H367" t="s">
        <v>72</v>
      </c>
      <c r="I367">
        <v>0</v>
      </c>
      <c r="J367">
        <v>40</v>
      </c>
      <c r="K367">
        <v>-40</v>
      </c>
      <c r="L367" t="s">
        <v>94</v>
      </c>
    </row>
    <row r="368" spans="1:12" x14ac:dyDescent="0.25">
      <c r="A368" s="21">
        <v>44427</v>
      </c>
      <c r="B368">
        <v>2021</v>
      </c>
      <c r="C368" t="s">
        <v>40</v>
      </c>
      <c r="D368" t="s">
        <v>41</v>
      </c>
      <c r="E368" t="s">
        <v>28</v>
      </c>
      <c r="F368" t="s">
        <v>67</v>
      </c>
      <c r="G368">
        <v>-52.1</v>
      </c>
      <c r="H368" t="s">
        <v>71</v>
      </c>
      <c r="I368">
        <v>0</v>
      </c>
      <c r="J368">
        <v>52.1</v>
      </c>
      <c r="K368">
        <v>-52.1</v>
      </c>
      <c r="L368" t="s">
        <v>94</v>
      </c>
    </row>
    <row r="369" spans="1:12" x14ac:dyDescent="0.25">
      <c r="A369" s="21">
        <v>44427</v>
      </c>
      <c r="B369">
        <v>2021</v>
      </c>
      <c r="C369" t="s">
        <v>42</v>
      </c>
      <c r="D369" t="s">
        <v>27</v>
      </c>
      <c r="E369" t="s">
        <v>28</v>
      </c>
      <c r="F369" t="s">
        <v>27</v>
      </c>
      <c r="G369">
        <v>-35</v>
      </c>
      <c r="H369" t="s">
        <v>74</v>
      </c>
      <c r="I369">
        <v>0</v>
      </c>
      <c r="J369">
        <v>35</v>
      </c>
      <c r="K369">
        <v>-35</v>
      </c>
      <c r="L369" t="s">
        <v>94</v>
      </c>
    </row>
    <row r="370" spans="1:12" x14ac:dyDescent="0.25">
      <c r="A370" s="21">
        <v>44427</v>
      </c>
      <c r="B370">
        <v>2021</v>
      </c>
      <c r="C370" t="s">
        <v>11</v>
      </c>
      <c r="D370" t="s">
        <v>12</v>
      </c>
      <c r="E370" t="s">
        <v>13</v>
      </c>
      <c r="F370" t="s">
        <v>64</v>
      </c>
      <c r="G370">
        <v>-5</v>
      </c>
      <c r="H370" t="s">
        <v>71</v>
      </c>
      <c r="I370">
        <v>0</v>
      </c>
      <c r="J370">
        <v>5</v>
      </c>
      <c r="K370">
        <v>-5</v>
      </c>
      <c r="L370" t="s">
        <v>94</v>
      </c>
    </row>
    <row r="371" spans="1:12" x14ac:dyDescent="0.25">
      <c r="A371" s="21">
        <v>44428</v>
      </c>
      <c r="B371">
        <v>2021</v>
      </c>
      <c r="C371" t="s">
        <v>11</v>
      </c>
      <c r="D371" t="s">
        <v>12</v>
      </c>
      <c r="E371" t="s">
        <v>13</v>
      </c>
      <c r="F371" t="s">
        <v>64</v>
      </c>
      <c r="G371">
        <v>-5</v>
      </c>
      <c r="H371" t="s">
        <v>71</v>
      </c>
      <c r="I371">
        <v>0</v>
      </c>
      <c r="J371">
        <v>5</v>
      </c>
      <c r="K371">
        <v>-5</v>
      </c>
      <c r="L371" t="s">
        <v>94</v>
      </c>
    </row>
    <row r="372" spans="1:12" x14ac:dyDescent="0.25">
      <c r="A372" s="21">
        <v>44429</v>
      </c>
      <c r="B372">
        <v>2021</v>
      </c>
      <c r="C372" t="s">
        <v>11</v>
      </c>
      <c r="D372" t="s">
        <v>12</v>
      </c>
      <c r="E372" t="s">
        <v>13</v>
      </c>
      <c r="F372" t="s">
        <v>64</v>
      </c>
      <c r="G372">
        <v>-5</v>
      </c>
      <c r="H372" t="s">
        <v>71</v>
      </c>
      <c r="I372">
        <v>0</v>
      </c>
      <c r="J372">
        <v>5</v>
      </c>
      <c r="K372">
        <v>-5</v>
      </c>
      <c r="L372" t="s">
        <v>94</v>
      </c>
    </row>
    <row r="373" spans="1:12" x14ac:dyDescent="0.25">
      <c r="A373" s="21">
        <v>44429</v>
      </c>
      <c r="B373">
        <v>2021</v>
      </c>
      <c r="C373" t="s">
        <v>21</v>
      </c>
      <c r="D373" t="s">
        <v>22</v>
      </c>
      <c r="E373" t="s">
        <v>17</v>
      </c>
      <c r="F373" t="s">
        <v>64</v>
      </c>
      <c r="G373">
        <v>-177</v>
      </c>
      <c r="H373" t="s">
        <v>71</v>
      </c>
      <c r="I373">
        <v>0</v>
      </c>
      <c r="J373">
        <v>177</v>
      </c>
      <c r="K373">
        <v>-177</v>
      </c>
      <c r="L373" t="s">
        <v>94</v>
      </c>
    </row>
    <row r="374" spans="1:12" x14ac:dyDescent="0.25">
      <c r="A374" s="21">
        <v>44430</v>
      </c>
      <c r="B374">
        <v>2021</v>
      </c>
      <c r="C374" t="s">
        <v>43</v>
      </c>
      <c r="D374" t="s">
        <v>32</v>
      </c>
      <c r="E374" t="s">
        <v>13</v>
      </c>
      <c r="F374" t="s">
        <v>64</v>
      </c>
      <c r="G374">
        <v>-44.2</v>
      </c>
      <c r="H374" t="s">
        <v>71</v>
      </c>
      <c r="I374">
        <v>0</v>
      </c>
      <c r="J374">
        <v>44.2</v>
      </c>
      <c r="K374">
        <v>-44.2</v>
      </c>
      <c r="L374" t="s">
        <v>94</v>
      </c>
    </row>
    <row r="375" spans="1:12" x14ac:dyDescent="0.25">
      <c r="A375" s="21">
        <v>44431</v>
      </c>
      <c r="B375">
        <v>2021</v>
      </c>
      <c r="C375" t="s">
        <v>44</v>
      </c>
      <c r="D375" t="s">
        <v>32</v>
      </c>
      <c r="E375" t="s">
        <v>13</v>
      </c>
      <c r="F375" t="s">
        <v>64</v>
      </c>
      <c r="G375">
        <v>-19.2</v>
      </c>
      <c r="H375" t="s">
        <v>71</v>
      </c>
      <c r="I375">
        <v>0</v>
      </c>
      <c r="J375">
        <v>19.2</v>
      </c>
      <c r="K375">
        <v>-19.2</v>
      </c>
      <c r="L375" t="s">
        <v>94</v>
      </c>
    </row>
    <row r="376" spans="1:12" x14ac:dyDescent="0.25">
      <c r="A376" s="21">
        <v>44432</v>
      </c>
      <c r="B376">
        <v>2021</v>
      </c>
      <c r="C376" t="s">
        <v>45</v>
      </c>
      <c r="D376" t="s">
        <v>46</v>
      </c>
      <c r="E376" t="s">
        <v>47</v>
      </c>
      <c r="F376" t="s">
        <v>67</v>
      </c>
      <c r="G376">
        <v>-55</v>
      </c>
      <c r="H376" t="s">
        <v>71</v>
      </c>
      <c r="I376">
        <v>0</v>
      </c>
      <c r="J376">
        <v>55</v>
      </c>
      <c r="K376">
        <v>-55</v>
      </c>
      <c r="L376" t="s">
        <v>94</v>
      </c>
    </row>
    <row r="377" spans="1:12" x14ac:dyDescent="0.25">
      <c r="A377" s="21">
        <v>44432</v>
      </c>
      <c r="B377">
        <v>2021</v>
      </c>
      <c r="C377" t="s">
        <v>25</v>
      </c>
      <c r="D377" t="s">
        <v>48</v>
      </c>
      <c r="E377" t="s">
        <v>20</v>
      </c>
      <c r="F377" t="s">
        <v>68</v>
      </c>
      <c r="G377">
        <v>-69.700000000000017</v>
      </c>
      <c r="H377" t="s">
        <v>74</v>
      </c>
      <c r="I377">
        <v>0</v>
      </c>
      <c r="J377">
        <v>69.700000000000017</v>
      </c>
      <c r="K377">
        <v>-69.700000000000017</v>
      </c>
      <c r="L377" t="s">
        <v>94</v>
      </c>
    </row>
    <row r="378" spans="1:12" x14ac:dyDescent="0.25">
      <c r="A378" s="21">
        <v>44432</v>
      </c>
      <c r="B378">
        <v>2021</v>
      </c>
      <c r="C378" t="s">
        <v>11</v>
      </c>
      <c r="D378" t="s">
        <v>12</v>
      </c>
      <c r="E378" t="s">
        <v>13</v>
      </c>
      <c r="F378" t="s">
        <v>64</v>
      </c>
      <c r="G378">
        <v>-5</v>
      </c>
      <c r="H378" t="s">
        <v>71</v>
      </c>
      <c r="I378">
        <v>0</v>
      </c>
      <c r="J378">
        <v>5</v>
      </c>
      <c r="K378">
        <v>-5</v>
      </c>
      <c r="L378" t="s">
        <v>94</v>
      </c>
    </row>
    <row r="379" spans="1:12" x14ac:dyDescent="0.25">
      <c r="A379" s="21">
        <v>44433</v>
      </c>
      <c r="B379">
        <v>2021</v>
      </c>
      <c r="C379" t="s">
        <v>11</v>
      </c>
      <c r="D379" t="s">
        <v>12</v>
      </c>
      <c r="E379" t="s">
        <v>13</v>
      </c>
      <c r="F379" t="s">
        <v>64</v>
      </c>
      <c r="G379">
        <v>-5</v>
      </c>
      <c r="H379" t="s">
        <v>71</v>
      </c>
      <c r="I379">
        <v>0</v>
      </c>
      <c r="J379">
        <v>5</v>
      </c>
      <c r="K379">
        <v>-5</v>
      </c>
      <c r="L379" t="s">
        <v>94</v>
      </c>
    </row>
    <row r="380" spans="1:12" x14ac:dyDescent="0.25">
      <c r="A380" s="21">
        <v>44434</v>
      </c>
      <c r="B380">
        <v>2021</v>
      </c>
      <c r="C380" t="s">
        <v>11</v>
      </c>
      <c r="D380" t="s">
        <v>12</v>
      </c>
      <c r="E380" t="s">
        <v>13</v>
      </c>
      <c r="F380" t="s">
        <v>64</v>
      </c>
      <c r="G380">
        <v>-5</v>
      </c>
      <c r="H380" t="s">
        <v>71</v>
      </c>
      <c r="I380">
        <v>0</v>
      </c>
      <c r="J380">
        <v>5</v>
      </c>
      <c r="K380">
        <v>-5</v>
      </c>
      <c r="L380" t="s">
        <v>94</v>
      </c>
    </row>
    <row r="381" spans="1:12" x14ac:dyDescent="0.25">
      <c r="A381" s="21">
        <v>44435</v>
      </c>
      <c r="B381">
        <v>2021</v>
      </c>
      <c r="C381" t="s">
        <v>11</v>
      </c>
      <c r="D381" t="s">
        <v>12</v>
      </c>
      <c r="E381" t="s">
        <v>13</v>
      </c>
      <c r="F381" t="s">
        <v>64</v>
      </c>
      <c r="G381">
        <v>-5</v>
      </c>
      <c r="H381" t="s">
        <v>71</v>
      </c>
      <c r="I381">
        <v>0</v>
      </c>
      <c r="J381">
        <v>5</v>
      </c>
      <c r="K381">
        <v>-5</v>
      </c>
      <c r="L381" t="s">
        <v>94</v>
      </c>
    </row>
    <row r="382" spans="1:12" x14ac:dyDescent="0.25">
      <c r="A382" s="21">
        <v>44436</v>
      </c>
      <c r="B382">
        <v>2021</v>
      </c>
      <c r="C382" t="s">
        <v>11</v>
      </c>
      <c r="D382" t="s">
        <v>12</v>
      </c>
      <c r="E382" t="s">
        <v>13</v>
      </c>
      <c r="F382" t="s">
        <v>64</v>
      </c>
      <c r="G382">
        <v>-5</v>
      </c>
      <c r="H382" t="s">
        <v>71</v>
      </c>
      <c r="I382">
        <v>0</v>
      </c>
      <c r="J382">
        <v>5</v>
      </c>
      <c r="K382">
        <v>-5</v>
      </c>
      <c r="L382" t="s">
        <v>94</v>
      </c>
    </row>
    <row r="383" spans="1:12" x14ac:dyDescent="0.25">
      <c r="A383" s="21">
        <v>44436</v>
      </c>
      <c r="B383">
        <v>2021</v>
      </c>
      <c r="C383" t="s">
        <v>21</v>
      </c>
      <c r="D383" t="s">
        <v>22</v>
      </c>
      <c r="E383" t="s">
        <v>17</v>
      </c>
      <c r="F383" t="s">
        <v>64</v>
      </c>
      <c r="G383">
        <v>-117</v>
      </c>
      <c r="H383" t="s">
        <v>71</v>
      </c>
      <c r="I383">
        <v>0</v>
      </c>
      <c r="J383">
        <v>117</v>
      </c>
      <c r="K383">
        <v>-117</v>
      </c>
      <c r="L383" t="s">
        <v>94</v>
      </c>
    </row>
    <row r="384" spans="1:12" x14ac:dyDescent="0.25">
      <c r="A384" s="21">
        <v>44437</v>
      </c>
      <c r="B384">
        <v>2021</v>
      </c>
      <c r="C384" t="s">
        <v>49</v>
      </c>
      <c r="D384" t="s">
        <v>30</v>
      </c>
      <c r="E384" t="s">
        <v>28</v>
      </c>
      <c r="F384" t="s">
        <v>67</v>
      </c>
      <c r="G384">
        <v>-131.9</v>
      </c>
      <c r="H384" t="s">
        <v>71</v>
      </c>
      <c r="I384">
        <v>0</v>
      </c>
      <c r="J384">
        <v>131.9</v>
      </c>
      <c r="K384">
        <v>-131.9</v>
      </c>
      <c r="L384" t="s">
        <v>94</v>
      </c>
    </row>
    <row r="385" spans="1:12" x14ac:dyDescent="0.25">
      <c r="A385" s="21">
        <v>44437</v>
      </c>
      <c r="B385">
        <v>2021</v>
      </c>
      <c r="C385" t="s">
        <v>50</v>
      </c>
      <c r="D385" t="s">
        <v>27</v>
      </c>
      <c r="E385" t="s">
        <v>28</v>
      </c>
      <c r="F385" t="s">
        <v>27</v>
      </c>
      <c r="G385">
        <v>-182.39999999999998</v>
      </c>
      <c r="H385" t="s">
        <v>74</v>
      </c>
      <c r="I385">
        <v>0</v>
      </c>
      <c r="J385">
        <v>182.39999999999998</v>
      </c>
      <c r="K385">
        <v>-182.39999999999998</v>
      </c>
      <c r="L385" t="s">
        <v>94</v>
      </c>
    </row>
    <row r="386" spans="1:12" x14ac:dyDescent="0.25">
      <c r="A386" s="21">
        <v>44438</v>
      </c>
      <c r="B386">
        <v>2021</v>
      </c>
      <c r="C386" t="s">
        <v>29</v>
      </c>
      <c r="D386" t="s">
        <v>30</v>
      </c>
      <c r="E386" t="s">
        <v>28</v>
      </c>
      <c r="F386" t="s">
        <v>67</v>
      </c>
      <c r="G386">
        <v>-152.29999999999998</v>
      </c>
      <c r="H386" t="s">
        <v>71</v>
      </c>
      <c r="I386">
        <v>0</v>
      </c>
      <c r="J386">
        <v>152.29999999999998</v>
      </c>
      <c r="K386">
        <v>-152.29999999999998</v>
      </c>
      <c r="L386" t="s">
        <v>94</v>
      </c>
    </row>
    <row r="387" spans="1:12" x14ac:dyDescent="0.25">
      <c r="A387" s="21">
        <v>44438</v>
      </c>
      <c r="B387">
        <v>2021</v>
      </c>
      <c r="C387" t="s">
        <v>33</v>
      </c>
      <c r="D387" t="s">
        <v>34</v>
      </c>
      <c r="E387" t="s">
        <v>20</v>
      </c>
      <c r="F387" t="s">
        <v>68</v>
      </c>
      <c r="G387">
        <v>-30.300000000000004</v>
      </c>
      <c r="H387" t="s">
        <v>74</v>
      </c>
      <c r="I387">
        <v>0</v>
      </c>
      <c r="J387">
        <v>30.300000000000004</v>
      </c>
      <c r="K387">
        <v>-30.300000000000004</v>
      </c>
      <c r="L387" t="s">
        <v>94</v>
      </c>
    </row>
    <row r="388" spans="1:12" x14ac:dyDescent="0.25">
      <c r="A388" s="21">
        <v>44438</v>
      </c>
      <c r="B388">
        <v>2021</v>
      </c>
      <c r="C388" t="s">
        <v>56</v>
      </c>
      <c r="D388" t="s">
        <v>32</v>
      </c>
      <c r="E388" t="s">
        <v>13</v>
      </c>
      <c r="F388" t="s">
        <v>64</v>
      </c>
      <c r="G388">
        <v>-15</v>
      </c>
      <c r="H388" t="s">
        <v>71</v>
      </c>
      <c r="I388">
        <v>0</v>
      </c>
      <c r="J388">
        <v>15</v>
      </c>
      <c r="K388">
        <v>-15</v>
      </c>
      <c r="L388" t="s">
        <v>94</v>
      </c>
    </row>
    <row r="389" spans="1:12" x14ac:dyDescent="0.25">
      <c r="A389" s="21">
        <v>44439</v>
      </c>
      <c r="B389">
        <v>2021</v>
      </c>
      <c r="C389" t="s">
        <v>11</v>
      </c>
      <c r="D389" t="s">
        <v>12</v>
      </c>
      <c r="E389" t="s">
        <v>13</v>
      </c>
      <c r="F389" t="s">
        <v>64</v>
      </c>
      <c r="G389">
        <v>-5</v>
      </c>
      <c r="H389" t="s">
        <v>71</v>
      </c>
      <c r="I389">
        <v>0</v>
      </c>
      <c r="J389">
        <v>5</v>
      </c>
      <c r="K389">
        <v>-5</v>
      </c>
      <c r="L389" t="s">
        <v>94</v>
      </c>
    </row>
    <row r="390" spans="1:12" x14ac:dyDescent="0.25">
      <c r="A390" s="21">
        <v>44441</v>
      </c>
      <c r="B390">
        <v>2021</v>
      </c>
      <c r="C390" t="s">
        <v>11</v>
      </c>
      <c r="D390" t="s">
        <v>12</v>
      </c>
      <c r="E390" t="s">
        <v>13</v>
      </c>
      <c r="F390" t="s">
        <v>64</v>
      </c>
      <c r="G390">
        <v>-5</v>
      </c>
      <c r="H390" t="s">
        <v>71</v>
      </c>
      <c r="I390">
        <v>0</v>
      </c>
      <c r="J390">
        <v>5</v>
      </c>
      <c r="K390">
        <v>-5</v>
      </c>
      <c r="L390" t="s">
        <v>94</v>
      </c>
    </row>
    <row r="391" spans="1:12" x14ac:dyDescent="0.25">
      <c r="A391" s="21">
        <v>44441</v>
      </c>
      <c r="B391">
        <v>2021</v>
      </c>
      <c r="C391" t="s">
        <v>7</v>
      </c>
      <c r="D391" t="s">
        <v>8</v>
      </c>
      <c r="E391" t="s">
        <v>9</v>
      </c>
      <c r="F391" t="s">
        <v>9</v>
      </c>
      <c r="G391">
        <v>5000</v>
      </c>
      <c r="H391" t="s">
        <v>70</v>
      </c>
      <c r="I391">
        <v>5000</v>
      </c>
      <c r="J391">
        <v>0</v>
      </c>
      <c r="K391">
        <v>5000</v>
      </c>
      <c r="L391" t="s">
        <v>93</v>
      </c>
    </row>
    <row r="392" spans="1:12" x14ac:dyDescent="0.25">
      <c r="A392" s="21">
        <v>44442</v>
      </c>
      <c r="B392">
        <v>2021</v>
      </c>
      <c r="C392" t="s">
        <v>11</v>
      </c>
      <c r="D392" t="s">
        <v>12</v>
      </c>
      <c r="E392" t="s">
        <v>13</v>
      </c>
      <c r="F392" t="s">
        <v>64</v>
      </c>
      <c r="G392">
        <v>-5</v>
      </c>
      <c r="H392" t="s">
        <v>71</v>
      </c>
      <c r="I392">
        <v>0</v>
      </c>
      <c r="J392">
        <v>5</v>
      </c>
      <c r="K392">
        <v>-5</v>
      </c>
      <c r="L392" t="s">
        <v>94</v>
      </c>
    </row>
    <row r="393" spans="1:12" x14ac:dyDescent="0.25">
      <c r="A393" s="21">
        <v>44444</v>
      </c>
      <c r="B393">
        <v>2021</v>
      </c>
      <c r="C393" t="s">
        <v>15</v>
      </c>
      <c r="D393" t="s">
        <v>16</v>
      </c>
      <c r="E393" t="s">
        <v>17</v>
      </c>
      <c r="F393" t="s">
        <v>65</v>
      </c>
      <c r="G393">
        <v>-900</v>
      </c>
      <c r="H393" t="s">
        <v>72</v>
      </c>
      <c r="I393">
        <v>0</v>
      </c>
      <c r="J393">
        <v>900</v>
      </c>
      <c r="K393">
        <v>-900</v>
      </c>
      <c r="L393" t="s">
        <v>94</v>
      </c>
    </row>
    <row r="394" spans="1:12" x14ac:dyDescent="0.25">
      <c r="A394" s="21">
        <v>44444</v>
      </c>
      <c r="B394">
        <v>2021</v>
      </c>
      <c r="C394" t="s">
        <v>18</v>
      </c>
      <c r="D394" t="s">
        <v>19</v>
      </c>
      <c r="E394" t="s">
        <v>20</v>
      </c>
      <c r="F394" t="s">
        <v>66</v>
      </c>
      <c r="G394">
        <v>-150</v>
      </c>
      <c r="H394" t="s">
        <v>73</v>
      </c>
      <c r="I394">
        <v>0</v>
      </c>
      <c r="J394">
        <v>150</v>
      </c>
      <c r="K394">
        <v>-150</v>
      </c>
      <c r="L394" t="s">
        <v>94</v>
      </c>
    </row>
    <row r="395" spans="1:12" x14ac:dyDescent="0.25">
      <c r="A395" s="21">
        <v>44444</v>
      </c>
      <c r="B395">
        <v>2021</v>
      </c>
      <c r="C395" t="s">
        <v>11</v>
      </c>
      <c r="D395" t="s">
        <v>12</v>
      </c>
      <c r="E395" t="s">
        <v>13</v>
      </c>
      <c r="F395" t="s">
        <v>64</v>
      </c>
      <c r="G395">
        <v>-5</v>
      </c>
      <c r="H395" t="s">
        <v>71</v>
      </c>
      <c r="I395">
        <v>0</v>
      </c>
      <c r="J395">
        <v>5</v>
      </c>
      <c r="K395">
        <v>-5</v>
      </c>
      <c r="L395" t="s">
        <v>94</v>
      </c>
    </row>
    <row r="396" spans="1:12" x14ac:dyDescent="0.25">
      <c r="A396" s="21">
        <v>44444</v>
      </c>
      <c r="B396">
        <v>2021</v>
      </c>
      <c r="C396" t="s">
        <v>11</v>
      </c>
      <c r="D396" t="s">
        <v>12</v>
      </c>
      <c r="E396" t="s">
        <v>13</v>
      </c>
      <c r="F396" t="s">
        <v>64</v>
      </c>
      <c r="G396">
        <v>-5</v>
      </c>
      <c r="H396" t="s">
        <v>71</v>
      </c>
      <c r="I396">
        <v>0</v>
      </c>
      <c r="J396">
        <v>5</v>
      </c>
      <c r="K396">
        <v>-5</v>
      </c>
      <c r="L396" t="s">
        <v>94</v>
      </c>
    </row>
    <row r="397" spans="1:12" x14ac:dyDescent="0.25">
      <c r="A397" s="21">
        <v>44445</v>
      </c>
      <c r="B397">
        <v>2021</v>
      </c>
      <c r="C397" t="s">
        <v>11</v>
      </c>
      <c r="D397" t="s">
        <v>12</v>
      </c>
      <c r="E397" t="s">
        <v>13</v>
      </c>
      <c r="F397" t="s">
        <v>64</v>
      </c>
      <c r="G397">
        <v>-5</v>
      </c>
      <c r="H397" t="s">
        <v>71</v>
      </c>
      <c r="I397">
        <v>0</v>
      </c>
      <c r="J397">
        <v>5</v>
      </c>
      <c r="K397">
        <v>-5</v>
      </c>
      <c r="L397" t="s">
        <v>94</v>
      </c>
    </row>
    <row r="398" spans="1:12" x14ac:dyDescent="0.25">
      <c r="A398" s="21">
        <v>44446</v>
      </c>
      <c r="B398">
        <v>2021</v>
      </c>
      <c r="C398" t="s">
        <v>11</v>
      </c>
      <c r="D398" t="s">
        <v>12</v>
      </c>
      <c r="E398" t="s">
        <v>13</v>
      </c>
      <c r="F398" t="s">
        <v>64</v>
      </c>
      <c r="G398">
        <v>-5</v>
      </c>
      <c r="H398" t="s">
        <v>71</v>
      </c>
      <c r="I398">
        <v>0</v>
      </c>
      <c r="J398">
        <v>5</v>
      </c>
      <c r="K398">
        <v>-5</v>
      </c>
      <c r="L398" t="s">
        <v>94</v>
      </c>
    </row>
    <row r="399" spans="1:12" x14ac:dyDescent="0.25">
      <c r="A399" s="21">
        <v>44446</v>
      </c>
      <c r="B399">
        <v>2021</v>
      </c>
      <c r="C399" t="s">
        <v>21</v>
      </c>
      <c r="D399" t="s">
        <v>22</v>
      </c>
      <c r="E399" t="s">
        <v>17</v>
      </c>
      <c r="F399" t="s">
        <v>64</v>
      </c>
      <c r="G399">
        <v>-163.39999999999998</v>
      </c>
      <c r="H399" t="s">
        <v>71</v>
      </c>
      <c r="I399">
        <v>0</v>
      </c>
      <c r="J399">
        <v>163.39999999999998</v>
      </c>
      <c r="K399">
        <v>-163.39999999999998</v>
      </c>
      <c r="L399" t="s">
        <v>94</v>
      </c>
    </row>
    <row r="400" spans="1:12" x14ac:dyDescent="0.25">
      <c r="A400" s="21">
        <v>44449</v>
      </c>
      <c r="B400">
        <v>2021</v>
      </c>
      <c r="C400" t="s">
        <v>23</v>
      </c>
      <c r="D400" t="s">
        <v>24</v>
      </c>
      <c r="E400" t="s">
        <v>17</v>
      </c>
      <c r="F400" t="s">
        <v>64</v>
      </c>
      <c r="G400">
        <v>-58.1</v>
      </c>
      <c r="H400" t="s">
        <v>71</v>
      </c>
      <c r="I400">
        <v>0</v>
      </c>
      <c r="J400">
        <v>58.1</v>
      </c>
      <c r="K400">
        <v>-58.1</v>
      </c>
      <c r="L400" t="s">
        <v>94</v>
      </c>
    </row>
    <row r="401" spans="1:12" x14ac:dyDescent="0.25">
      <c r="A401" s="21">
        <v>44449</v>
      </c>
      <c r="B401">
        <v>2021</v>
      </c>
      <c r="C401" t="s">
        <v>11</v>
      </c>
      <c r="D401" t="s">
        <v>12</v>
      </c>
      <c r="E401" t="s">
        <v>13</v>
      </c>
      <c r="F401" t="s">
        <v>64</v>
      </c>
      <c r="G401">
        <v>-5</v>
      </c>
      <c r="H401" t="s">
        <v>71</v>
      </c>
      <c r="I401">
        <v>0</v>
      </c>
      <c r="J401">
        <v>5</v>
      </c>
      <c r="K401">
        <v>-5</v>
      </c>
      <c r="L401" t="s">
        <v>94</v>
      </c>
    </row>
    <row r="402" spans="1:12" x14ac:dyDescent="0.25">
      <c r="A402" s="21">
        <v>44450</v>
      </c>
      <c r="B402">
        <v>2021</v>
      </c>
      <c r="C402" t="s">
        <v>11</v>
      </c>
      <c r="D402" t="s">
        <v>12</v>
      </c>
      <c r="E402" t="s">
        <v>13</v>
      </c>
      <c r="F402" t="s">
        <v>64</v>
      </c>
      <c r="G402">
        <v>-5</v>
      </c>
      <c r="H402" t="s">
        <v>71</v>
      </c>
      <c r="I402">
        <v>0</v>
      </c>
      <c r="J402">
        <v>5</v>
      </c>
      <c r="K402">
        <v>-5</v>
      </c>
      <c r="L402" t="s">
        <v>94</v>
      </c>
    </row>
    <row r="403" spans="1:12" x14ac:dyDescent="0.25">
      <c r="A403" s="21">
        <v>44451</v>
      </c>
      <c r="B403">
        <v>2021</v>
      </c>
      <c r="C403" t="s">
        <v>25</v>
      </c>
      <c r="D403" t="s">
        <v>48</v>
      </c>
      <c r="E403" t="s">
        <v>20</v>
      </c>
      <c r="F403" t="s">
        <v>68</v>
      </c>
      <c r="G403">
        <v>-85.299999999999983</v>
      </c>
      <c r="H403" t="s">
        <v>74</v>
      </c>
      <c r="I403">
        <v>0</v>
      </c>
      <c r="J403">
        <v>85.299999999999983</v>
      </c>
      <c r="K403">
        <v>-85.299999999999983</v>
      </c>
      <c r="L403" t="s">
        <v>94</v>
      </c>
    </row>
    <row r="404" spans="1:12" x14ac:dyDescent="0.25">
      <c r="A404" s="21">
        <v>44451</v>
      </c>
      <c r="B404">
        <v>2021</v>
      </c>
      <c r="C404" t="s">
        <v>11</v>
      </c>
      <c r="D404" t="s">
        <v>12</v>
      </c>
      <c r="E404" t="s">
        <v>13</v>
      </c>
      <c r="F404" t="s">
        <v>64</v>
      </c>
      <c r="G404">
        <v>-5</v>
      </c>
      <c r="H404" t="s">
        <v>71</v>
      </c>
      <c r="I404">
        <v>0</v>
      </c>
      <c r="J404">
        <v>5</v>
      </c>
      <c r="K404">
        <v>-5</v>
      </c>
      <c r="L404" t="s">
        <v>94</v>
      </c>
    </row>
    <row r="405" spans="1:12" x14ac:dyDescent="0.25">
      <c r="A405" s="21">
        <v>44452</v>
      </c>
      <c r="B405">
        <v>2021</v>
      </c>
      <c r="C405" t="s">
        <v>11</v>
      </c>
      <c r="D405" t="s">
        <v>12</v>
      </c>
      <c r="E405" t="s">
        <v>13</v>
      </c>
      <c r="F405" t="s">
        <v>64</v>
      </c>
      <c r="G405">
        <v>-5</v>
      </c>
      <c r="H405" t="s">
        <v>71</v>
      </c>
      <c r="I405">
        <v>0</v>
      </c>
      <c r="J405">
        <v>5</v>
      </c>
      <c r="K405">
        <v>-5</v>
      </c>
      <c r="L405" t="s">
        <v>94</v>
      </c>
    </row>
    <row r="406" spans="1:12" x14ac:dyDescent="0.25">
      <c r="A406" s="21">
        <v>44453</v>
      </c>
      <c r="B406">
        <v>2021</v>
      </c>
      <c r="C406" t="s">
        <v>21</v>
      </c>
      <c r="D406" t="s">
        <v>22</v>
      </c>
      <c r="E406" t="s">
        <v>17</v>
      </c>
      <c r="F406" t="s">
        <v>64</v>
      </c>
      <c r="G406">
        <v>-143</v>
      </c>
      <c r="H406" t="s">
        <v>71</v>
      </c>
      <c r="I406">
        <v>0</v>
      </c>
      <c r="J406">
        <v>143</v>
      </c>
      <c r="K406">
        <v>-143</v>
      </c>
      <c r="L406" t="s">
        <v>94</v>
      </c>
    </row>
    <row r="407" spans="1:12" x14ac:dyDescent="0.25">
      <c r="A407" s="21">
        <v>44453</v>
      </c>
      <c r="B407">
        <v>2021</v>
      </c>
      <c r="C407" t="s">
        <v>11</v>
      </c>
      <c r="D407" t="s">
        <v>12</v>
      </c>
      <c r="E407" t="s">
        <v>13</v>
      </c>
      <c r="F407" t="s">
        <v>64</v>
      </c>
      <c r="G407">
        <v>-5</v>
      </c>
      <c r="H407" t="s">
        <v>71</v>
      </c>
      <c r="I407">
        <v>0</v>
      </c>
      <c r="J407">
        <v>5</v>
      </c>
      <c r="K407">
        <v>-5</v>
      </c>
      <c r="L407" t="s">
        <v>94</v>
      </c>
    </row>
    <row r="408" spans="1:12" x14ac:dyDescent="0.25">
      <c r="A408" s="21">
        <v>44454</v>
      </c>
      <c r="B408">
        <v>2021</v>
      </c>
      <c r="C408" t="s">
        <v>11</v>
      </c>
      <c r="D408" t="s">
        <v>12</v>
      </c>
      <c r="E408" t="s">
        <v>13</v>
      </c>
      <c r="F408" t="s">
        <v>64</v>
      </c>
      <c r="G408">
        <v>-5</v>
      </c>
      <c r="H408" t="s">
        <v>71</v>
      </c>
      <c r="I408">
        <v>0</v>
      </c>
      <c r="J408">
        <v>5</v>
      </c>
      <c r="K408">
        <v>-5</v>
      </c>
      <c r="L408" t="s">
        <v>94</v>
      </c>
    </row>
    <row r="409" spans="1:12" x14ac:dyDescent="0.25">
      <c r="A409" s="21">
        <v>44454</v>
      </c>
      <c r="B409">
        <v>2021</v>
      </c>
      <c r="C409" t="s">
        <v>26</v>
      </c>
      <c r="D409" t="s">
        <v>27</v>
      </c>
      <c r="E409" t="s">
        <v>28</v>
      </c>
      <c r="F409" t="s">
        <v>27</v>
      </c>
      <c r="G409">
        <v>-47.8</v>
      </c>
      <c r="H409" t="s">
        <v>74</v>
      </c>
      <c r="I409">
        <v>0</v>
      </c>
      <c r="J409">
        <v>47.8</v>
      </c>
      <c r="K409">
        <v>-47.8</v>
      </c>
      <c r="L409" t="s">
        <v>94</v>
      </c>
    </row>
    <row r="410" spans="1:12" x14ac:dyDescent="0.25">
      <c r="A410" s="21">
        <v>44454</v>
      </c>
      <c r="B410">
        <v>2021</v>
      </c>
      <c r="C410" t="s">
        <v>29</v>
      </c>
      <c r="D410" t="s">
        <v>30</v>
      </c>
      <c r="E410" t="s">
        <v>28</v>
      </c>
      <c r="F410" t="s">
        <v>67</v>
      </c>
      <c r="G410">
        <v>-105.80000000000001</v>
      </c>
      <c r="H410" t="s">
        <v>71</v>
      </c>
      <c r="I410">
        <v>0</v>
      </c>
      <c r="J410">
        <v>105.80000000000001</v>
      </c>
      <c r="K410">
        <v>-105.80000000000001</v>
      </c>
      <c r="L410" t="s">
        <v>94</v>
      </c>
    </row>
    <row r="411" spans="1:12" x14ac:dyDescent="0.25">
      <c r="A411" s="21">
        <v>44454</v>
      </c>
      <c r="B411">
        <v>2021</v>
      </c>
      <c r="C411" t="s">
        <v>31</v>
      </c>
      <c r="D411" t="s">
        <v>32</v>
      </c>
      <c r="E411" t="s">
        <v>13</v>
      </c>
      <c r="F411" t="s">
        <v>64</v>
      </c>
      <c r="G411">
        <v>-60.1</v>
      </c>
      <c r="H411" t="s">
        <v>71</v>
      </c>
      <c r="I411">
        <v>0</v>
      </c>
      <c r="J411">
        <v>60.1</v>
      </c>
      <c r="K411">
        <v>-60.1</v>
      </c>
      <c r="L411" t="s">
        <v>94</v>
      </c>
    </row>
    <row r="412" spans="1:12" x14ac:dyDescent="0.25">
      <c r="A412" s="21">
        <v>44455</v>
      </c>
      <c r="B412">
        <v>2021</v>
      </c>
      <c r="C412" t="s">
        <v>33</v>
      </c>
      <c r="D412" t="s">
        <v>34</v>
      </c>
      <c r="E412" t="s">
        <v>20</v>
      </c>
      <c r="F412" t="s">
        <v>68</v>
      </c>
      <c r="G412">
        <v>-36.200000000000003</v>
      </c>
      <c r="H412" t="s">
        <v>74</v>
      </c>
      <c r="I412">
        <v>0</v>
      </c>
      <c r="J412">
        <v>36.200000000000003</v>
      </c>
      <c r="K412">
        <v>-36.200000000000003</v>
      </c>
      <c r="L412" t="s">
        <v>94</v>
      </c>
    </row>
    <row r="413" spans="1:12" x14ac:dyDescent="0.25">
      <c r="A413" s="21">
        <v>44456</v>
      </c>
      <c r="B413">
        <v>2021</v>
      </c>
      <c r="C413" t="s">
        <v>35</v>
      </c>
      <c r="D413" t="s">
        <v>36</v>
      </c>
      <c r="E413" t="s">
        <v>37</v>
      </c>
      <c r="F413" t="s">
        <v>37</v>
      </c>
      <c r="G413">
        <v>100</v>
      </c>
      <c r="H413" t="s">
        <v>70</v>
      </c>
      <c r="I413">
        <v>100</v>
      </c>
      <c r="J413">
        <v>0</v>
      </c>
      <c r="K413">
        <v>100</v>
      </c>
      <c r="L413" t="s">
        <v>93</v>
      </c>
    </row>
    <row r="414" spans="1:12" x14ac:dyDescent="0.25">
      <c r="A414" s="21">
        <v>44456</v>
      </c>
      <c r="B414">
        <v>2021</v>
      </c>
      <c r="C414" t="s">
        <v>11</v>
      </c>
      <c r="D414" t="s">
        <v>12</v>
      </c>
      <c r="E414" t="s">
        <v>13</v>
      </c>
      <c r="F414" t="s">
        <v>64</v>
      </c>
      <c r="G414">
        <v>-5</v>
      </c>
      <c r="H414" t="s">
        <v>71</v>
      </c>
      <c r="I414">
        <v>0</v>
      </c>
      <c r="J414">
        <v>5</v>
      </c>
      <c r="K414">
        <v>-5</v>
      </c>
      <c r="L414" t="s">
        <v>94</v>
      </c>
    </row>
    <row r="415" spans="1:12" x14ac:dyDescent="0.25">
      <c r="A415" s="21">
        <v>44457</v>
      </c>
      <c r="B415">
        <v>2021</v>
      </c>
      <c r="C415" t="s">
        <v>11</v>
      </c>
      <c r="D415" t="s">
        <v>12</v>
      </c>
      <c r="E415" t="s">
        <v>13</v>
      </c>
      <c r="F415" t="s">
        <v>64</v>
      </c>
      <c r="G415">
        <v>-5</v>
      </c>
      <c r="H415" t="s">
        <v>71</v>
      </c>
      <c r="I415">
        <v>0</v>
      </c>
      <c r="J415">
        <v>5</v>
      </c>
      <c r="K415">
        <v>-5</v>
      </c>
      <c r="L415" t="s">
        <v>94</v>
      </c>
    </row>
    <row r="416" spans="1:12" x14ac:dyDescent="0.25">
      <c r="A416" s="21">
        <v>44457</v>
      </c>
      <c r="B416">
        <v>2021</v>
      </c>
      <c r="C416" t="s">
        <v>39</v>
      </c>
      <c r="D416" t="s">
        <v>39</v>
      </c>
      <c r="E416" t="s">
        <v>17</v>
      </c>
      <c r="F416" t="s">
        <v>69</v>
      </c>
      <c r="G416">
        <v>-40</v>
      </c>
      <c r="H416" t="s">
        <v>72</v>
      </c>
      <c r="I416">
        <v>0</v>
      </c>
      <c r="J416">
        <v>40</v>
      </c>
      <c r="K416">
        <v>-40</v>
      </c>
      <c r="L416" t="s">
        <v>94</v>
      </c>
    </row>
    <row r="417" spans="1:12" x14ac:dyDescent="0.25">
      <c r="A417" s="21">
        <v>44458</v>
      </c>
      <c r="B417">
        <v>2021</v>
      </c>
      <c r="C417" t="s">
        <v>40</v>
      </c>
      <c r="D417" t="s">
        <v>41</v>
      </c>
      <c r="E417" t="s">
        <v>28</v>
      </c>
      <c r="F417" t="s">
        <v>67</v>
      </c>
      <c r="G417">
        <v>-53</v>
      </c>
      <c r="H417" t="s">
        <v>71</v>
      </c>
      <c r="I417">
        <v>0</v>
      </c>
      <c r="J417">
        <v>53</v>
      </c>
      <c r="K417">
        <v>-53</v>
      </c>
      <c r="L417" t="s">
        <v>94</v>
      </c>
    </row>
    <row r="418" spans="1:12" x14ac:dyDescent="0.25">
      <c r="A418" s="21">
        <v>44458</v>
      </c>
      <c r="B418">
        <v>2021</v>
      </c>
      <c r="C418" t="s">
        <v>42</v>
      </c>
      <c r="D418" t="s">
        <v>27</v>
      </c>
      <c r="E418" t="s">
        <v>28</v>
      </c>
      <c r="F418" t="s">
        <v>27</v>
      </c>
      <c r="G418">
        <v>-35</v>
      </c>
      <c r="H418" t="s">
        <v>74</v>
      </c>
      <c r="I418">
        <v>0</v>
      </c>
      <c r="J418">
        <v>35</v>
      </c>
      <c r="K418">
        <v>-35</v>
      </c>
      <c r="L418" t="s">
        <v>94</v>
      </c>
    </row>
    <row r="419" spans="1:12" x14ac:dyDescent="0.25">
      <c r="A419" s="21">
        <v>44458</v>
      </c>
      <c r="B419">
        <v>2021</v>
      </c>
      <c r="C419" t="s">
        <v>11</v>
      </c>
      <c r="D419" t="s">
        <v>12</v>
      </c>
      <c r="E419" t="s">
        <v>13</v>
      </c>
      <c r="F419" t="s">
        <v>64</v>
      </c>
      <c r="G419">
        <v>-5</v>
      </c>
      <c r="H419" t="s">
        <v>71</v>
      </c>
      <c r="I419">
        <v>0</v>
      </c>
      <c r="J419">
        <v>5</v>
      </c>
      <c r="K419">
        <v>-5</v>
      </c>
      <c r="L419" t="s">
        <v>94</v>
      </c>
    </row>
    <row r="420" spans="1:12" x14ac:dyDescent="0.25">
      <c r="A420" s="21">
        <v>44459</v>
      </c>
      <c r="B420">
        <v>2021</v>
      </c>
      <c r="C420" t="s">
        <v>11</v>
      </c>
      <c r="D420" t="s">
        <v>12</v>
      </c>
      <c r="E420" t="s">
        <v>13</v>
      </c>
      <c r="F420" t="s">
        <v>64</v>
      </c>
      <c r="G420">
        <v>-5</v>
      </c>
      <c r="H420" t="s">
        <v>71</v>
      </c>
      <c r="I420">
        <v>0</v>
      </c>
      <c r="J420">
        <v>5</v>
      </c>
      <c r="K420">
        <v>-5</v>
      </c>
      <c r="L420" t="s">
        <v>94</v>
      </c>
    </row>
    <row r="421" spans="1:12" x14ac:dyDescent="0.25">
      <c r="A421" s="21">
        <v>44460</v>
      </c>
      <c r="B421">
        <v>2021</v>
      </c>
      <c r="C421" t="s">
        <v>11</v>
      </c>
      <c r="D421" t="s">
        <v>12</v>
      </c>
      <c r="E421" t="s">
        <v>13</v>
      </c>
      <c r="F421" t="s">
        <v>64</v>
      </c>
      <c r="G421">
        <v>-5</v>
      </c>
      <c r="H421" t="s">
        <v>71</v>
      </c>
      <c r="I421">
        <v>0</v>
      </c>
      <c r="J421">
        <v>5</v>
      </c>
      <c r="K421">
        <v>-5</v>
      </c>
      <c r="L421" t="s">
        <v>94</v>
      </c>
    </row>
    <row r="422" spans="1:12" x14ac:dyDescent="0.25">
      <c r="A422" s="21">
        <v>44460</v>
      </c>
      <c r="B422">
        <v>2021</v>
      </c>
      <c r="C422" t="s">
        <v>21</v>
      </c>
      <c r="D422" t="s">
        <v>22</v>
      </c>
      <c r="E422" t="s">
        <v>17</v>
      </c>
      <c r="F422" t="s">
        <v>64</v>
      </c>
      <c r="G422">
        <v>-177.9</v>
      </c>
      <c r="H422" t="s">
        <v>71</v>
      </c>
      <c r="I422">
        <v>0</v>
      </c>
      <c r="J422">
        <v>177.9</v>
      </c>
      <c r="K422">
        <v>-177.9</v>
      </c>
      <c r="L422" t="s">
        <v>94</v>
      </c>
    </row>
    <row r="423" spans="1:12" x14ac:dyDescent="0.25">
      <c r="A423" s="21">
        <v>44461</v>
      </c>
      <c r="B423">
        <v>2021</v>
      </c>
      <c r="C423" t="s">
        <v>43</v>
      </c>
      <c r="D423" t="s">
        <v>32</v>
      </c>
      <c r="E423" t="s">
        <v>13</v>
      </c>
      <c r="F423" t="s">
        <v>64</v>
      </c>
      <c r="G423">
        <v>-45.300000000000004</v>
      </c>
      <c r="H423" t="s">
        <v>71</v>
      </c>
      <c r="I423">
        <v>0</v>
      </c>
      <c r="J423">
        <v>45.300000000000004</v>
      </c>
      <c r="K423">
        <v>-45.300000000000004</v>
      </c>
      <c r="L423" t="s">
        <v>94</v>
      </c>
    </row>
    <row r="424" spans="1:12" x14ac:dyDescent="0.25">
      <c r="A424" s="21">
        <v>44462</v>
      </c>
      <c r="B424">
        <v>2021</v>
      </c>
      <c r="C424" t="s">
        <v>44</v>
      </c>
      <c r="D424" t="s">
        <v>32</v>
      </c>
      <c r="E424" t="s">
        <v>13</v>
      </c>
      <c r="F424" t="s">
        <v>64</v>
      </c>
      <c r="G424">
        <v>-20.099999999999998</v>
      </c>
      <c r="H424" t="s">
        <v>71</v>
      </c>
      <c r="I424">
        <v>0</v>
      </c>
      <c r="J424">
        <v>20.099999999999998</v>
      </c>
      <c r="K424">
        <v>-20.099999999999998</v>
      </c>
      <c r="L424" t="s">
        <v>94</v>
      </c>
    </row>
    <row r="425" spans="1:12" x14ac:dyDescent="0.25">
      <c r="A425" s="21">
        <v>44463</v>
      </c>
      <c r="B425">
        <v>2021</v>
      </c>
      <c r="C425" t="s">
        <v>45</v>
      </c>
      <c r="D425" t="s">
        <v>46</v>
      </c>
      <c r="E425" t="s">
        <v>47</v>
      </c>
      <c r="F425" t="s">
        <v>67</v>
      </c>
      <c r="G425">
        <v>-55</v>
      </c>
      <c r="H425" t="s">
        <v>71</v>
      </c>
      <c r="I425">
        <v>0</v>
      </c>
      <c r="J425">
        <v>55</v>
      </c>
      <c r="K425">
        <v>-55</v>
      </c>
      <c r="L425" t="s">
        <v>94</v>
      </c>
    </row>
    <row r="426" spans="1:12" x14ac:dyDescent="0.25">
      <c r="A426" s="21">
        <v>44463</v>
      </c>
      <c r="B426">
        <v>2021</v>
      </c>
      <c r="C426" t="s">
        <v>25</v>
      </c>
      <c r="D426" t="s">
        <v>48</v>
      </c>
      <c r="E426" t="s">
        <v>20</v>
      </c>
      <c r="F426" t="s">
        <v>68</v>
      </c>
      <c r="G426">
        <v>-70.600000000000023</v>
      </c>
      <c r="H426" t="s">
        <v>74</v>
      </c>
      <c r="I426">
        <v>0</v>
      </c>
      <c r="J426">
        <v>70.600000000000023</v>
      </c>
      <c r="K426">
        <v>-70.600000000000023</v>
      </c>
      <c r="L426" t="s">
        <v>94</v>
      </c>
    </row>
    <row r="427" spans="1:12" x14ac:dyDescent="0.25">
      <c r="A427" s="21">
        <v>44463</v>
      </c>
      <c r="B427">
        <v>2021</v>
      </c>
      <c r="C427" t="s">
        <v>11</v>
      </c>
      <c r="D427" t="s">
        <v>12</v>
      </c>
      <c r="E427" t="s">
        <v>13</v>
      </c>
      <c r="F427" t="s">
        <v>64</v>
      </c>
      <c r="G427">
        <v>-5</v>
      </c>
      <c r="H427" t="s">
        <v>71</v>
      </c>
      <c r="I427">
        <v>0</v>
      </c>
      <c r="J427">
        <v>5</v>
      </c>
      <c r="K427">
        <v>-5</v>
      </c>
      <c r="L427" t="s">
        <v>94</v>
      </c>
    </row>
    <row r="428" spans="1:12" x14ac:dyDescent="0.25">
      <c r="A428" s="21">
        <v>44464</v>
      </c>
      <c r="B428">
        <v>2021</v>
      </c>
      <c r="C428" t="s">
        <v>11</v>
      </c>
      <c r="D428" t="s">
        <v>12</v>
      </c>
      <c r="E428" t="s">
        <v>13</v>
      </c>
      <c r="F428" t="s">
        <v>64</v>
      </c>
      <c r="G428">
        <v>-5</v>
      </c>
      <c r="H428" t="s">
        <v>71</v>
      </c>
      <c r="I428">
        <v>0</v>
      </c>
      <c r="J428">
        <v>5</v>
      </c>
      <c r="K428">
        <v>-5</v>
      </c>
      <c r="L428" t="s">
        <v>94</v>
      </c>
    </row>
    <row r="429" spans="1:12" x14ac:dyDescent="0.25">
      <c r="A429" s="21">
        <v>44465</v>
      </c>
      <c r="B429">
        <v>2021</v>
      </c>
      <c r="C429" t="s">
        <v>11</v>
      </c>
      <c r="D429" t="s">
        <v>12</v>
      </c>
      <c r="E429" t="s">
        <v>13</v>
      </c>
      <c r="F429" t="s">
        <v>64</v>
      </c>
      <c r="G429">
        <v>-5</v>
      </c>
      <c r="H429" t="s">
        <v>71</v>
      </c>
      <c r="I429">
        <v>0</v>
      </c>
      <c r="J429">
        <v>5</v>
      </c>
      <c r="K429">
        <v>-5</v>
      </c>
      <c r="L429" t="s">
        <v>94</v>
      </c>
    </row>
    <row r="430" spans="1:12" x14ac:dyDescent="0.25">
      <c r="A430" s="21">
        <v>44466</v>
      </c>
      <c r="B430">
        <v>2021</v>
      </c>
      <c r="C430" t="s">
        <v>11</v>
      </c>
      <c r="D430" t="s">
        <v>12</v>
      </c>
      <c r="E430" t="s">
        <v>13</v>
      </c>
      <c r="F430" t="s">
        <v>64</v>
      </c>
      <c r="G430">
        <v>-5</v>
      </c>
      <c r="H430" t="s">
        <v>71</v>
      </c>
      <c r="I430">
        <v>0</v>
      </c>
      <c r="J430">
        <v>5</v>
      </c>
      <c r="K430">
        <v>-5</v>
      </c>
      <c r="L430" t="s">
        <v>94</v>
      </c>
    </row>
    <row r="431" spans="1:12" x14ac:dyDescent="0.25">
      <c r="A431" s="21">
        <v>44467</v>
      </c>
      <c r="B431">
        <v>2021</v>
      </c>
      <c r="C431" t="s">
        <v>11</v>
      </c>
      <c r="D431" t="s">
        <v>12</v>
      </c>
      <c r="E431" t="s">
        <v>13</v>
      </c>
      <c r="F431" t="s">
        <v>64</v>
      </c>
      <c r="G431">
        <v>-5</v>
      </c>
      <c r="H431" t="s">
        <v>71</v>
      </c>
      <c r="I431">
        <v>0</v>
      </c>
      <c r="J431">
        <v>5</v>
      </c>
      <c r="K431">
        <v>-5</v>
      </c>
      <c r="L431" t="s">
        <v>94</v>
      </c>
    </row>
    <row r="432" spans="1:12" x14ac:dyDescent="0.25">
      <c r="A432" s="21">
        <v>44467</v>
      </c>
      <c r="B432">
        <v>2021</v>
      </c>
      <c r="C432" t="s">
        <v>21</v>
      </c>
      <c r="D432" t="s">
        <v>22</v>
      </c>
      <c r="E432" t="s">
        <v>17</v>
      </c>
      <c r="F432" t="s">
        <v>64</v>
      </c>
      <c r="G432">
        <v>-223</v>
      </c>
      <c r="H432" t="s">
        <v>71</v>
      </c>
      <c r="I432">
        <v>0</v>
      </c>
      <c r="J432">
        <v>223</v>
      </c>
      <c r="K432">
        <v>-223</v>
      </c>
      <c r="L432" t="s">
        <v>94</v>
      </c>
    </row>
    <row r="433" spans="1:12" x14ac:dyDescent="0.25">
      <c r="A433" s="21">
        <v>44468</v>
      </c>
      <c r="B433">
        <v>2021</v>
      </c>
      <c r="C433" t="s">
        <v>49</v>
      </c>
      <c r="D433" t="s">
        <v>30</v>
      </c>
      <c r="E433" t="s">
        <v>28</v>
      </c>
      <c r="F433" t="s">
        <v>67</v>
      </c>
      <c r="G433">
        <v>-132.9</v>
      </c>
      <c r="H433" t="s">
        <v>71</v>
      </c>
      <c r="I433">
        <v>0</v>
      </c>
      <c r="J433">
        <v>132.9</v>
      </c>
      <c r="K433">
        <v>-132.9</v>
      </c>
      <c r="L433" t="s">
        <v>94</v>
      </c>
    </row>
    <row r="434" spans="1:12" x14ac:dyDescent="0.25">
      <c r="A434" s="21">
        <v>44468</v>
      </c>
      <c r="B434">
        <v>2021</v>
      </c>
      <c r="C434" t="s">
        <v>51</v>
      </c>
      <c r="D434" t="s">
        <v>30</v>
      </c>
      <c r="E434" t="s">
        <v>28</v>
      </c>
      <c r="F434" t="s">
        <v>67</v>
      </c>
      <c r="G434">
        <v>-175</v>
      </c>
      <c r="H434" t="s">
        <v>71</v>
      </c>
      <c r="I434">
        <v>0</v>
      </c>
      <c r="J434">
        <v>175</v>
      </c>
      <c r="K434">
        <v>-175</v>
      </c>
      <c r="L434" t="s">
        <v>94</v>
      </c>
    </row>
    <row r="435" spans="1:12" x14ac:dyDescent="0.25">
      <c r="A435" s="21">
        <v>44469</v>
      </c>
      <c r="B435">
        <v>2021</v>
      </c>
      <c r="C435" t="s">
        <v>29</v>
      </c>
      <c r="D435" t="s">
        <v>30</v>
      </c>
      <c r="E435" t="s">
        <v>28</v>
      </c>
      <c r="F435" t="s">
        <v>67</v>
      </c>
      <c r="G435">
        <v>-153.39999999999998</v>
      </c>
      <c r="H435" t="s">
        <v>71</v>
      </c>
      <c r="I435">
        <v>0</v>
      </c>
      <c r="J435">
        <v>153.39999999999998</v>
      </c>
      <c r="K435">
        <v>-153.39999999999998</v>
      </c>
      <c r="L435" t="s">
        <v>94</v>
      </c>
    </row>
    <row r="436" spans="1:12" x14ac:dyDescent="0.25">
      <c r="A436" s="21">
        <v>44469</v>
      </c>
      <c r="B436">
        <v>2021</v>
      </c>
      <c r="C436" t="s">
        <v>33</v>
      </c>
      <c r="D436" t="s">
        <v>34</v>
      </c>
      <c r="E436" t="s">
        <v>20</v>
      </c>
      <c r="F436" t="s">
        <v>68</v>
      </c>
      <c r="G436">
        <v>-31.200000000000003</v>
      </c>
      <c r="H436" t="s">
        <v>74</v>
      </c>
      <c r="I436">
        <v>0</v>
      </c>
      <c r="J436">
        <v>31.200000000000003</v>
      </c>
      <c r="K436">
        <v>-31.200000000000003</v>
      </c>
      <c r="L436" t="s">
        <v>94</v>
      </c>
    </row>
    <row r="437" spans="1:12" x14ac:dyDescent="0.25">
      <c r="A437" s="21">
        <v>44469</v>
      </c>
      <c r="B437">
        <v>2021</v>
      </c>
      <c r="C437" t="s">
        <v>56</v>
      </c>
      <c r="D437" t="s">
        <v>32</v>
      </c>
      <c r="E437" t="s">
        <v>13</v>
      </c>
      <c r="F437" t="s">
        <v>64</v>
      </c>
      <c r="G437">
        <v>-15</v>
      </c>
      <c r="H437" t="s">
        <v>71</v>
      </c>
      <c r="I437">
        <v>0</v>
      </c>
      <c r="J437">
        <v>15</v>
      </c>
      <c r="K437">
        <v>-15</v>
      </c>
      <c r="L437" t="s">
        <v>94</v>
      </c>
    </row>
    <row r="438" spans="1:12" x14ac:dyDescent="0.25">
      <c r="A438" s="21">
        <v>44470</v>
      </c>
      <c r="B438">
        <v>2021</v>
      </c>
      <c r="C438" t="s">
        <v>11</v>
      </c>
      <c r="D438" t="s">
        <v>12</v>
      </c>
      <c r="E438" t="s">
        <v>13</v>
      </c>
      <c r="F438" t="s">
        <v>64</v>
      </c>
      <c r="G438">
        <v>-5</v>
      </c>
      <c r="H438" t="s">
        <v>71</v>
      </c>
      <c r="I438">
        <v>0</v>
      </c>
      <c r="J438">
        <v>5</v>
      </c>
      <c r="K438">
        <v>-5</v>
      </c>
      <c r="L438" t="s">
        <v>94</v>
      </c>
    </row>
    <row r="439" spans="1:12" x14ac:dyDescent="0.25">
      <c r="A439" s="21">
        <v>44472</v>
      </c>
      <c r="B439">
        <v>2021</v>
      </c>
      <c r="C439" t="s">
        <v>11</v>
      </c>
      <c r="D439" t="s">
        <v>12</v>
      </c>
      <c r="E439" t="s">
        <v>13</v>
      </c>
      <c r="F439" t="s">
        <v>64</v>
      </c>
      <c r="G439">
        <v>-5</v>
      </c>
      <c r="H439" t="s">
        <v>71</v>
      </c>
      <c r="I439">
        <v>0</v>
      </c>
      <c r="J439">
        <v>5</v>
      </c>
      <c r="K439">
        <v>-5</v>
      </c>
      <c r="L439" t="s">
        <v>94</v>
      </c>
    </row>
    <row r="440" spans="1:12" x14ac:dyDescent="0.25">
      <c r="A440" s="21">
        <v>44472</v>
      </c>
      <c r="B440">
        <v>2021</v>
      </c>
      <c r="C440" t="s">
        <v>7</v>
      </c>
      <c r="D440" t="s">
        <v>8</v>
      </c>
      <c r="E440" t="s">
        <v>9</v>
      </c>
      <c r="F440" t="s">
        <v>9</v>
      </c>
      <c r="G440">
        <v>5000</v>
      </c>
      <c r="H440" t="s">
        <v>70</v>
      </c>
      <c r="I440">
        <v>5000</v>
      </c>
      <c r="J440">
        <v>0</v>
      </c>
      <c r="K440">
        <v>5000</v>
      </c>
      <c r="L440" t="s">
        <v>93</v>
      </c>
    </row>
    <row r="441" spans="1:12" x14ac:dyDescent="0.25">
      <c r="A441" s="21">
        <v>44473</v>
      </c>
      <c r="B441">
        <v>2021</v>
      </c>
      <c r="C441" t="s">
        <v>11</v>
      </c>
      <c r="D441" t="s">
        <v>12</v>
      </c>
      <c r="E441" t="s">
        <v>13</v>
      </c>
      <c r="F441" t="s">
        <v>64</v>
      </c>
      <c r="G441">
        <v>-5</v>
      </c>
      <c r="H441" t="s">
        <v>71</v>
      </c>
      <c r="I441">
        <v>0</v>
      </c>
      <c r="J441">
        <v>5</v>
      </c>
      <c r="K441">
        <v>-5</v>
      </c>
      <c r="L441" t="s">
        <v>94</v>
      </c>
    </row>
    <row r="442" spans="1:12" x14ac:dyDescent="0.25">
      <c r="A442" s="21">
        <v>44475</v>
      </c>
      <c r="B442">
        <v>2021</v>
      </c>
      <c r="C442" t="s">
        <v>15</v>
      </c>
      <c r="D442" t="s">
        <v>16</v>
      </c>
      <c r="E442" t="s">
        <v>17</v>
      </c>
      <c r="F442" t="s">
        <v>65</v>
      </c>
      <c r="G442">
        <v>-900</v>
      </c>
      <c r="H442" t="s">
        <v>72</v>
      </c>
      <c r="I442">
        <v>0</v>
      </c>
      <c r="J442">
        <v>900</v>
      </c>
      <c r="K442">
        <v>-900</v>
      </c>
      <c r="L442" t="s">
        <v>94</v>
      </c>
    </row>
    <row r="443" spans="1:12" x14ac:dyDescent="0.25">
      <c r="A443" s="21">
        <v>44475</v>
      </c>
      <c r="B443">
        <v>2021</v>
      </c>
      <c r="C443" t="s">
        <v>18</v>
      </c>
      <c r="D443" t="s">
        <v>19</v>
      </c>
      <c r="E443" t="s">
        <v>20</v>
      </c>
      <c r="F443" t="s">
        <v>66</v>
      </c>
      <c r="G443">
        <v>-150</v>
      </c>
      <c r="H443" t="s">
        <v>73</v>
      </c>
      <c r="I443">
        <v>0</v>
      </c>
      <c r="J443">
        <v>150</v>
      </c>
      <c r="K443">
        <v>-150</v>
      </c>
      <c r="L443" t="s">
        <v>94</v>
      </c>
    </row>
    <row r="444" spans="1:12" x14ac:dyDescent="0.25">
      <c r="A444" s="21">
        <v>44475</v>
      </c>
      <c r="B444">
        <v>2021</v>
      </c>
      <c r="C444" t="s">
        <v>11</v>
      </c>
      <c r="D444" t="s">
        <v>12</v>
      </c>
      <c r="E444" t="s">
        <v>13</v>
      </c>
      <c r="F444" t="s">
        <v>64</v>
      </c>
      <c r="G444">
        <v>-5</v>
      </c>
      <c r="H444" t="s">
        <v>71</v>
      </c>
      <c r="I444">
        <v>0</v>
      </c>
      <c r="J444">
        <v>5</v>
      </c>
      <c r="K444">
        <v>-5</v>
      </c>
      <c r="L444" t="s">
        <v>94</v>
      </c>
    </row>
    <row r="445" spans="1:12" x14ac:dyDescent="0.25">
      <c r="A445" s="21">
        <v>44475</v>
      </c>
      <c r="B445">
        <v>2021</v>
      </c>
      <c r="C445" t="s">
        <v>11</v>
      </c>
      <c r="D445" t="s">
        <v>12</v>
      </c>
      <c r="E445" t="s">
        <v>13</v>
      </c>
      <c r="F445" t="s">
        <v>64</v>
      </c>
      <c r="G445">
        <v>-5</v>
      </c>
      <c r="H445" t="s">
        <v>71</v>
      </c>
      <c r="I445">
        <v>0</v>
      </c>
      <c r="J445">
        <v>5</v>
      </c>
      <c r="K445">
        <v>-5</v>
      </c>
      <c r="L445" t="s">
        <v>94</v>
      </c>
    </row>
    <row r="446" spans="1:12" x14ac:dyDescent="0.25">
      <c r="A446" s="21">
        <v>44476</v>
      </c>
      <c r="B446">
        <v>2021</v>
      </c>
      <c r="C446" t="s">
        <v>11</v>
      </c>
      <c r="D446" t="s">
        <v>12</v>
      </c>
      <c r="E446" t="s">
        <v>13</v>
      </c>
      <c r="F446" t="s">
        <v>64</v>
      </c>
      <c r="G446">
        <v>-5</v>
      </c>
      <c r="H446" t="s">
        <v>71</v>
      </c>
      <c r="I446">
        <v>0</v>
      </c>
      <c r="J446">
        <v>5</v>
      </c>
      <c r="K446">
        <v>-5</v>
      </c>
      <c r="L446" t="s">
        <v>94</v>
      </c>
    </row>
    <row r="447" spans="1:12" x14ac:dyDescent="0.25">
      <c r="A447" s="21">
        <v>44477</v>
      </c>
      <c r="B447">
        <v>2021</v>
      </c>
      <c r="C447" t="s">
        <v>11</v>
      </c>
      <c r="D447" t="s">
        <v>12</v>
      </c>
      <c r="E447" t="s">
        <v>13</v>
      </c>
      <c r="F447" t="s">
        <v>64</v>
      </c>
      <c r="G447">
        <v>-5</v>
      </c>
      <c r="H447" t="s">
        <v>71</v>
      </c>
      <c r="I447">
        <v>0</v>
      </c>
      <c r="J447">
        <v>5</v>
      </c>
      <c r="K447">
        <v>-5</v>
      </c>
      <c r="L447" t="s">
        <v>94</v>
      </c>
    </row>
    <row r="448" spans="1:12" x14ac:dyDescent="0.25">
      <c r="A448" s="21">
        <v>44477</v>
      </c>
      <c r="B448">
        <v>2021</v>
      </c>
      <c r="C448" t="s">
        <v>21</v>
      </c>
      <c r="D448" t="s">
        <v>22</v>
      </c>
      <c r="E448" t="s">
        <v>17</v>
      </c>
      <c r="F448" t="s">
        <v>64</v>
      </c>
      <c r="G448">
        <v>-105</v>
      </c>
      <c r="H448" t="s">
        <v>71</v>
      </c>
      <c r="I448">
        <v>0</v>
      </c>
      <c r="J448">
        <v>105</v>
      </c>
      <c r="K448">
        <v>-105</v>
      </c>
      <c r="L448" t="s">
        <v>94</v>
      </c>
    </row>
    <row r="449" spans="1:12" x14ac:dyDescent="0.25">
      <c r="A449" s="21">
        <v>44480</v>
      </c>
      <c r="B449">
        <v>2021</v>
      </c>
      <c r="C449" t="s">
        <v>23</v>
      </c>
      <c r="D449" t="s">
        <v>24</v>
      </c>
      <c r="E449" t="s">
        <v>17</v>
      </c>
      <c r="F449" t="s">
        <v>64</v>
      </c>
      <c r="G449">
        <v>-59</v>
      </c>
      <c r="H449" t="s">
        <v>71</v>
      </c>
      <c r="I449">
        <v>0</v>
      </c>
      <c r="J449">
        <v>59</v>
      </c>
      <c r="K449">
        <v>-59</v>
      </c>
      <c r="L449" t="s">
        <v>94</v>
      </c>
    </row>
    <row r="450" spans="1:12" x14ac:dyDescent="0.25">
      <c r="A450" s="21">
        <v>44480</v>
      </c>
      <c r="B450">
        <v>2021</v>
      </c>
      <c r="C450" t="s">
        <v>11</v>
      </c>
      <c r="D450" t="s">
        <v>12</v>
      </c>
      <c r="E450" t="s">
        <v>13</v>
      </c>
      <c r="F450" t="s">
        <v>64</v>
      </c>
      <c r="G450">
        <v>-5</v>
      </c>
      <c r="H450" t="s">
        <v>71</v>
      </c>
      <c r="I450">
        <v>0</v>
      </c>
      <c r="J450">
        <v>5</v>
      </c>
      <c r="K450">
        <v>-5</v>
      </c>
      <c r="L450" t="s">
        <v>94</v>
      </c>
    </row>
    <row r="451" spans="1:12" x14ac:dyDescent="0.25">
      <c r="A451" s="21">
        <v>44481</v>
      </c>
      <c r="B451">
        <v>2021</v>
      </c>
      <c r="C451" t="s">
        <v>11</v>
      </c>
      <c r="D451" t="s">
        <v>12</v>
      </c>
      <c r="E451" t="s">
        <v>13</v>
      </c>
      <c r="F451" t="s">
        <v>64</v>
      </c>
      <c r="G451">
        <v>-5</v>
      </c>
      <c r="H451" t="s">
        <v>71</v>
      </c>
      <c r="I451">
        <v>0</v>
      </c>
      <c r="J451">
        <v>5</v>
      </c>
      <c r="K451">
        <v>-5</v>
      </c>
      <c r="L451" t="s">
        <v>94</v>
      </c>
    </row>
    <row r="452" spans="1:12" x14ac:dyDescent="0.25">
      <c r="A452" s="21">
        <v>44482</v>
      </c>
      <c r="B452">
        <v>2021</v>
      </c>
      <c r="C452" t="s">
        <v>25</v>
      </c>
      <c r="D452" t="s">
        <v>48</v>
      </c>
      <c r="E452" t="s">
        <v>20</v>
      </c>
      <c r="F452" t="s">
        <v>68</v>
      </c>
      <c r="G452">
        <v>-86.399999999999977</v>
      </c>
      <c r="H452" t="s">
        <v>74</v>
      </c>
      <c r="I452">
        <v>0</v>
      </c>
      <c r="J452">
        <v>86.399999999999977</v>
      </c>
      <c r="K452">
        <v>-86.399999999999977</v>
      </c>
      <c r="L452" t="s">
        <v>94</v>
      </c>
    </row>
    <row r="453" spans="1:12" x14ac:dyDescent="0.25">
      <c r="A453" s="21">
        <v>44482</v>
      </c>
      <c r="B453">
        <v>2021</v>
      </c>
      <c r="C453" t="s">
        <v>11</v>
      </c>
      <c r="D453" t="s">
        <v>12</v>
      </c>
      <c r="E453" t="s">
        <v>13</v>
      </c>
      <c r="F453" t="s">
        <v>64</v>
      </c>
      <c r="G453">
        <v>-5</v>
      </c>
      <c r="H453" t="s">
        <v>71</v>
      </c>
      <c r="I453">
        <v>0</v>
      </c>
      <c r="J453">
        <v>5</v>
      </c>
      <c r="K453">
        <v>-5</v>
      </c>
      <c r="L453" t="s">
        <v>94</v>
      </c>
    </row>
    <row r="454" spans="1:12" x14ac:dyDescent="0.25">
      <c r="A454" s="21">
        <v>44483</v>
      </c>
      <c r="B454">
        <v>2021</v>
      </c>
      <c r="C454" t="s">
        <v>11</v>
      </c>
      <c r="D454" t="s">
        <v>12</v>
      </c>
      <c r="E454" t="s">
        <v>13</v>
      </c>
      <c r="F454" t="s">
        <v>64</v>
      </c>
      <c r="G454">
        <v>-5</v>
      </c>
      <c r="H454" t="s">
        <v>71</v>
      </c>
      <c r="I454">
        <v>0</v>
      </c>
      <c r="J454">
        <v>5</v>
      </c>
      <c r="K454">
        <v>-5</v>
      </c>
      <c r="L454" t="s">
        <v>94</v>
      </c>
    </row>
    <row r="455" spans="1:12" x14ac:dyDescent="0.25">
      <c r="A455" s="21">
        <v>44484</v>
      </c>
      <c r="B455">
        <v>2021</v>
      </c>
      <c r="C455" t="s">
        <v>21</v>
      </c>
      <c r="D455" t="s">
        <v>22</v>
      </c>
      <c r="E455" t="s">
        <v>17</v>
      </c>
      <c r="F455" t="s">
        <v>64</v>
      </c>
      <c r="G455">
        <v>-143.9</v>
      </c>
      <c r="H455" t="s">
        <v>71</v>
      </c>
      <c r="I455">
        <v>0</v>
      </c>
      <c r="J455">
        <v>143.9</v>
      </c>
      <c r="K455">
        <v>-143.9</v>
      </c>
      <c r="L455" t="s">
        <v>94</v>
      </c>
    </row>
    <row r="456" spans="1:12" x14ac:dyDescent="0.25">
      <c r="A456" s="21">
        <v>44484</v>
      </c>
      <c r="B456">
        <v>2021</v>
      </c>
      <c r="C456" t="s">
        <v>11</v>
      </c>
      <c r="D456" t="s">
        <v>12</v>
      </c>
      <c r="E456" t="s">
        <v>13</v>
      </c>
      <c r="F456" t="s">
        <v>64</v>
      </c>
      <c r="G456">
        <v>-5</v>
      </c>
      <c r="H456" t="s">
        <v>71</v>
      </c>
      <c r="I456">
        <v>0</v>
      </c>
      <c r="J456">
        <v>5</v>
      </c>
      <c r="K456">
        <v>-5</v>
      </c>
      <c r="L456" t="s">
        <v>94</v>
      </c>
    </row>
    <row r="457" spans="1:12" x14ac:dyDescent="0.25">
      <c r="A457" s="21">
        <v>44485</v>
      </c>
      <c r="B457">
        <v>2021</v>
      </c>
      <c r="C457" t="s">
        <v>11</v>
      </c>
      <c r="D457" t="s">
        <v>12</v>
      </c>
      <c r="E457" t="s">
        <v>13</v>
      </c>
      <c r="F457" t="s">
        <v>64</v>
      </c>
      <c r="G457">
        <v>-5</v>
      </c>
      <c r="H457" t="s">
        <v>71</v>
      </c>
      <c r="I457">
        <v>0</v>
      </c>
      <c r="J457">
        <v>5</v>
      </c>
      <c r="K457">
        <v>-5</v>
      </c>
      <c r="L457" t="s">
        <v>94</v>
      </c>
    </row>
    <row r="458" spans="1:12" x14ac:dyDescent="0.25">
      <c r="A458" s="21">
        <v>44485</v>
      </c>
      <c r="B458">
        <v>2021</v>
      </c>
      <c r="C458" t="s">
        <v>26</v>
      </c>
      <c r="D458" t="s">
        <v>27</v>
      </c>
      <c r="E458" t="s">
        <v>28</v>
      </c>
      <c r="F458" t="s">
        <v>27</v>
      </c>
      <c r="G458">
        <v>-48.8</v>
      </c>
      <c r="H458" t="s">
        <v>74</v>
      </c>
      <c r="I458">
        <v>0</v>
      </c>
      <c r="J458">
        <v>48.8</v>
      </c>
      <c r="K458">
        <v>-48.8</v>
      </c>
      <c r="L458" t="s">
        <v>94</v>
      </c>
    </row>
    <row r="459" spans="1:12" x14ac:dyDescent="0.25">
      <c r="A459" s="21">
        <v>44485</v>
      </c>
      <c r="B459">
        <v>2021</v>
      </c>
      <c r="C459" t="s">
        <v>29</v>
      </c>
      <c r="D459" t="s">
        <v>30</v>
      </c>
      <c r="E459" t="s">
        <v>28</v>
      </c>
      <c r="F459" t="s">
        <v>67</v>
      </c>
      <c r="G459">
        <v>-106.70000000000002</v>
      </c>
      <c r="H459" t="s">
        <v>71</v>
      </c>
      <c r="I459">
        <v>0</v>
      </c>
      <c r="J459">
        <v>106.70000000000002</v>
      </c>
      <c r="K459">
        <v>-106.70000000000002</v>
      </c>
      <c r="L459" t="s">
        <v>94</v>
      </c>
    </row>
    <row r="460" spans="1:12" x14ac:dyDescent="0.25">
      <c r="A460" s="21">
        <v>44485</v>
      </c>
      <c r="B460">
        <v>2021</v>
      </c>
      <c r="C460" t="s">
        <v>31</v>
      </c>
      <c r="D460" t="s">
        <v>32</v>
      </c>
      <c r="E460" t="s">
        <v>13</v>
      </c>
      <c r="F460" t="s">
        <v>64</v>
      </c>
      <c r="G460">
        <v>-61.1</v>
      </c>
      <c r="H460" t="s">
        <v>71</v>
      </c>
      <c r="I460">
        <v>0</v>
      </c>
      <c r="J460">
        <v>61.1</v>
      </c>
      <c r="K460">
        <v>-61.1</v>
      </c>
      <c r="L460" t="s">
        <v>94</v>
      </c>
    </row>
    <row r="461" spans="1:12" x14ac:dyDescent="0.25">
      <c r="A461" s="21">
        <v>44486</v>
      </c>
      <c r="B461">
        <v>2021</v>
      </c>
      <c r="C461" t="s">
        <v>33</v>
      </c>
      <c r="D461" t="s">
        <v>34</v>
      </c>
      <c r="E461" t="s">
        <v>20</v>
      </c>
      <c r="F461" t="s">
        <v>68</v>
      </c>
      <c r="G461">
        <v>-37.200000000000003</v>
      </c>
      <c r="H461" t="s">
        <v>74</v>
      </c>
      <c r="I461">
        <v>0</v>
      </c>
      <c r="J461">
        <v>37.200000000000003</v>
      </c>
      <c r="K461">
        <v>-37.200000000000003</v>
      </c>
      <c r="L461" t="s">
        <v>94</v>
      </c>
    </row>
    <row r="462" spans="1:12" x14ac:dyDescent="0.25">
      <c r="A462" s="21">
        <v>44487</v>
      </c>
      <c r="B462">
        <v>2021</v>
      </c>
      <c r="C462" t="s">
        <v>35</v>
      </c>
      <c r="D462" t="s">
        <v>36</v>
      </c>
      <c r="E462" t="s">
        <v>37</v>
      </c>
      <c r="F462" t="s">
        <v>37</v>
      </c>
      <c r="G462">
        <v>100</v>
      </c>
      <c r="H462" t="s">
        <v>70</v>
      </c>
      <c r="I462">
        <v>100</v>
      </c>
      <c r="J462">
        <v>0</v>
      </c>
      <c r="K462">
        <v>100</v>
      </c>
      <c r="L462" t="s">
        <v>93</v>
      </c>
    </row>
    <row r="463" spans="1:12" x14ac:dyDescent="0.25">
      <c r="A463" s="21">
        <v>44487</v>
      </c>
      <c r="B463">
        <v>2021</v>
      </c>
      <c r="C463" t="s">
        <v>11</v>
      </c>
      <c r="D463" t="s">
        <v>12</v>
      </c>
      <c r="E463" t="s">
        <v>13</v>
      </c>
      <c r="F463" t="s">
        <v>64</v>
      </c>
      <c r="G463">
        <v>-5</v>
      </c>
      <c r="H463" t="s">
        <v>71</v>
      </c>
      <c r="I463">
        <v>0</v>
      </c>
      <c r="J463">
        <v>5</v>
      </c>
      <c r="K463">
        <v>-5</v>
      </c>
      <c r="L463" t="s">
        <v>94</v>
      </c>
    </row>
    <row r="464" spans="1:12" x14ac:dyDescent="0.25">
      <c r="A464" s="21">
        <v>44488</v>
      </c>
      <c r="B464">
        <v>2021</v>
      </c>
      <c r="C464" t="s">
        <v>11</v>
      </c>
      <c r="D464" t="s">
        <v>12</v>
      </c>
      <c r="E464" t="s">
        <v>13</v>
      </c>
      <c r="F464" t="s">
        <v>64</v>
      </c>
      <c r="G464">
        <v>-5</v>
      </c>
      <c r="H464" t="s">
        <v>71</v>
      </c>
      <c r="I464">
        <v>0</v>
      </c>
      <c r="J464">
        <v>5</v>
      </c>
      <c r="K464">
        <v>-5</v>
      </c>
      <c r="L464" t="s">
        <v>94</v>
      </c>
    </row>
    <row r="465" spans="1:12" x14ac:dyDescent="0.25">
      <c r="A465" s="21">
        <v>44488</v>
      </c>
      <c r="B465">
        <v>2021</v>
      </c>
      <c r="C465" t="s">
        <v>52</v>
      </c>
      <c r="D465" t="s">
        <v>53</v>
      </c>
      <c r="E465" t="s">
        <v>54</v>
      </c>
      <c r="F465" t="s">
        <v>54</v>
      </c>
      <c r="G465">
        <v>-75</v>
      </c>
      <c r="H465" t="s">
        <v>74</v>
      </c>
      <c r="I465">
        <v>0</v>
      </c>
      <c r="J465">
        <v>75</v>
      </c>
      <c r="K465">
        <v>-75</v>
      </c>
      <c r="L465" t="s">
        <v>94</v>
      </c>
    </row>
    <row r="466" spans="1:12" x14ac:dyDescent="0.25">
      <c r="A466" s="21">
        <v>44488</v>
      </c>
      <c r="B466">
        <v>2021</v>
      </c>
      <c r="C466" t="s">
        <v>39</v>
      </c>
      <c r="D466" t="s">
        <v>39</v>
      </c>
      <c r="E466" t="s">
        <v>17</v>
      </c>
      <c r="F466" t="s">
        <v>69</v>
      </c>
      <c r="G466">
        <v>-40</v>
      </c>
      <c r="H466" t="s">
        <v>72</v>
      </c>
      <c r="I466">
        <v>0</v>
      </c>
      <c r="J466">
        <v>40</v>
      </c>
      <c r="K466">
        <v>-40</v>
      </c>
      <c r="L466" t="s">
        <v>94</v>
      </c>
    </row>
    <row r="467" spans="1:12" x14ac:dyDescent="0.25">
      <c r="A467" s="21">
        <v>44489</v>
      </c>
      <c r="B467">
        <v>2021</v>
      </c>
      <c r="C467" t="s">
        <v>40</v>
      </c>
      <c r="D467" t="s">
        <v>41</v>
      </c>
      <c r="E467" t="s">
        <v>28</v>
      </c>
      <c r="F467" t="s">
        <v>67</v>
      </c>
      <c r="G467">
        <v>-54.1</v>
      </c>
      <c r="H467" t="s">
        <v>71</v>
      </c>
      <c r="I467">
        <v>0</v>
      </c>
      <c r="J467">
        <v>54.1</v>
      </c>
      <c r="K467">
        <v>-54.1</v>
      </c>
      <c r="L467" t="s">
        <v>94</v>
      </c>
    </row>
    <row r="468" spans="1:12" x14ac:dyDescent="0.25">
      <c r="A468" s="21">
        <v>44489</v>
      </c>
      <c r="B468">
        <v>2021</v>
      </c>
      <c r="C468" t="s">
        <v>42</v>
      </c>
      <c r="D468" t="s">
        <v>27</v>
      </c>
      <c r="E468" t="s">
        <v>28</v>
      </c>
      <c r="F468" t="s">
        <v>27</v>
      </c>
      <c r="G468">
        <v>-35</v>
      </c>
      <c r="H468" t="s">
        <v>74</v>
      </c>
      <c r="I468">
        <v>0</v>
      </c>
      <c r="J468">
        <v>35</v>
      </c>
      <c r="K468">
        <v>-35</v>
      </c>
      <c r="L468" t="s">
        <v>94</v>
      </c>
    </row>
    <row r="469" spans="1:12" x14ac:dyDescent="0.25">
      <c r="A469" s="21">
        <v>44489</v>
      </c>
      <c r="B469">
        <v>2021</v>
      </c>
      <c r="C469" t="s">
        <v>11</v>
      </c>
      <c r="D469" t="s">
        <v>12</v>
      </c>
      <c r="E469" t="s">
        <v>13</v>
      </c>
      <c r="F469" t="s">
        <v>64</v>
      </c>
      <c r="G469">
        <v>-5</v>
      </c>
      <c r="H469" t="s">
        <v>71</v>
      </c>
      <c r="I469">
        <v>0</v>
      </c>
      <c r="J469">
        <v>5</v>
      </c>
      <c r="K469">
        <v>-5</v>
      </c>
      <c r="L469" t="s">
        <v>94</v>
      </c>
    </row>
    <row r="470" spans="1:12" x14ac:dyDescent="0.25">
      <c r="A470" s="21">
        <v>44490</v>
      </c>
      <c r="B470">
        <v>2021</v>
      </c>
      <c r="C470" t="s">
        <v>11</v>
      </c>
      <c r="D470" t="s">
        <v>12</v>
      </c>
      <c r="E470" t="s">
        <v>13</v>
      </c>
      <c r="F470" t="s">
        <v>64</v>
      </c>
      <c r="G470">
        <v>-5</v>
      </c>
      <c r="H470" t="s">
        <v>71</v>
      </c>
      <c r="I470">
        <v>0</v>
      </c>
      <c r="J470">
        <v>5</v>
      </c>
      <c r="K470">
        <v>-5</v>
      </c>
      <c r="L470" t="s">
        <v>94</v>
      </c>
    </row>
    <row r="471" spans="1:12" x14ac:dyDescent="0.25">
      <c r="A471" s="21">
        <v>44491</v>
      </c>
      <c r="B471">
        <v>2021</v>
      </c>
      <c r="C471" t="s">
        <v>11</v>
      </c>
      <c r="D471" t="s">
        <v>12</v>
      </c>
      <c r="E471" t="s">
        <v>13</v>
      </c>
      <c r="F471" t="s">
        <v>64</v>
      </c>
      <c r="G471">
        <v>-5</v>
      </c>
      <c r="H471" t="s">
        <v>71</v>
      </c>
      <c r="I471">
        <v>0</v>
      </c>
      <c r="J471">
        <v>5</v>
      </c>
      <c r="K471">
        <v>-5</v>
      </c>
      <c r="L471" t="s">
        <v>94</v>
      </c>
    </row>
    <row r="472" spans="1:12" x14ac:dyDescent="0.25">
      <c r="A472" s="21">
        <v>44491</v>
      </c>
      <c r="B472">
        <v>2021</v>
      </c>
      <c r="C472" t="s">
        <v>21</v>
      </c>
      <c r="D472" t="s">
        <v>22</v>
      </c>
      <c r="E472" t="s">
        <v>17</v>
      </c>
      <c r="F472" t="s">
        <v>64</v>
      </c>
      <c r="G472">
        <v>-178.9</v>
      </c>
      <c r="H472" t="s">
        <v>71</v>
      </c>
      <c r="I472">
        <v>0</v>
      </c>
      <c r="J472">
        <v>178.9</v>
      </c>
      <c r="K472">
        <v>-178.9</v>
      </c>
      <c r="L472" t="s">
        <v>94</v>
      </c>
    </row>
    <row r="473" spans="1:12" x14ac:dyDescent="0.25">
      <c r="A473" s="21">
        <v>44492</v>
      </c>
      <c r="B473">
        <v>2021</v>
      </c>
      <c r="C473" t="s">
        <v>43</v>
      </c>
      <c r="D473" t="s">
        <v>32</v>
      </c>
      <c r="E473" t="s">
        <v>13</v>
      </c>
      <c r="F473" t="s">
        <v>64</v>
      </c>
      <c r="G473">
        <v>-46.2</v>
      </c>
      <c r="H473" t="s">
        <v>71</v>
      </c>
      <c r="I473">
        <v>0</v>
      </c>
      <c r="J473">
        <v>46.2</v>
      </c>
      <c r="K473">
        <v>-46.2</v>
      </c>
      <c r="L473" t="s">
        <v>94</v>
      </c>
    </row>
    <row r="474" spans="1:12" x14ac:dyDescent="0.25">
      <c r="A474" s="21">
        <v>44493</v>
      </c>
      <c r="B474">
        <v>2021</v>
      </c>
      <c r="C474" t="s">
        <v>44</v>
      </c>
      <c r="D474" t="s">
        <v>32</v>
      </c>
      <c r="E474" t="s">
        <v>13</v>
      </c>
      <c r="F474" t="s">
        <v>64</v>
      </c>
      <c r="G474">
        <v>-21.099999999999998</v>
      </c>
      <c r="H474" t="s">
        <v>71</v>
      </c>
      <c r="I474">
        <v>0</v>
      </c>
      <c r="J474">
        <v>21.099999999999998</v>
      </c>
      <c r="K474">
        <v>-21.099999999999998</v>
      </c>
      <c r="L474" t="s">
        <v>94</v>
      </c>
    </row>
    <row r="475" spans="1:12" x14ac:dyDescent="0.25">
      <c r="A475" s="21">
        <v>44494</v>
      </c>
      <c r="B475">
        <v>2021</v>
      </c>
      <c r="C475" t="s">
        <v>45</v>
      </c>
      <c r="D475" t="s">
        <v>46</v>
      </c>
      <c r="E475" t="s">
        <v>47</v>
      </c>
      <c r="F475" t="s">
        <v>67</v>
      </c>
      <c r="G475">
        <v>-55</v>
      </c>
      <c r="H475" t="s">
        <v>71</v>
      </c>
      <c r="I475">
        <v>0</v>
      </c>
      <c r="J475">
        <v>55</v>
      </c>
      <c r="K475">
        <v>-55</v>
      </c>
      <c r="L475" t="s">
        <v>94</v>
      </c>
    </row>
    <row r="476" spans="1:12" x14ac:dyDescent="0.25">
      <c r="A476" s="21">
        <v>44494</v>
      </c>
      <c r="B476">
        <v>2021</v>
      </c>
      <c r="C476" t="s">
        <v>25</v>
      </c>
      <c r="D476" t="s">
        <v>48</v>
      </c>
      <c r="E476" t="s">
        <v>20</v>
      </c>
      <c r="F476" t="s">
        <v>68</v>
      </c>
      <c r="G476">
        <v>-71.500000000000028</v>
      </c>
      <c r="H476" t="s">
        <v>74</v>
      </c>
      <c r="I476">
        <v>0</v>
      </c>
      <c r="J476">
        <v>71.500000000000028</v>
      </c>
      <c r="K476">
        <v>-71.500000000000028</v>
      </c>
      <c r="L476" t="s">
        <v>94</v>
      </c>
    </row>
    <row r="477" spans="1:12" x14ac:dyDescent="0.25">
      <c r="A477" s="21">
        <v>44494</v>
      </c>
      <c r="B477">
        <v>2021</v>
      </c>
      <c r="C477" t="s">
        <v>11</v>
      </c>
      <c r="D477" t="s">
        <v>12</v>
      </c>
      <c r="E477" t="s">
        <v>13</v>
      </c>
      <c r="F477" t="s">
        <v>64</v>
      </c>
      <c r="G477">
        <v>-5</v>
      </c>
      <c r="H477" t="s">
        <v>71</v>
      </c>
      <c r="I477">
        <v>0</v>
      </c>
      <c r="J477">
        <v>5</v>
      </c>
      <c r="K477">
        <v>-5</v>
      </c>
      <c r="L477" t="s">
        <v>94</v>
      </c>
    </row>
    <row r="478" spans="1:12" x14ac:dyDescent="0.25">
      <c r="A478" s="21">
        <v>44495</v>
      </c>
      <c r="B478">
        <v>2021</v>
      </c>
      <c r="C478" t="s">
        <v>11</v>
      </c>
      <c r="D478" t="s">
        <v>12</v>
      </c>
      <c r="E478" t="s">
        <v>13</v>
      </c>
      <c r="F478" t="s">
        <v>64</v>
      </c>
      <c r="G478">
        <v>-5</v>
      </c>
      <c r="H478" t="s">
        <v>71</v>
      </c>
      <c r="I478">
        <v>0</v>
      </c>
      <c r="J478">
        <v>5</v>
      </c>
      <c r="K478">
        <v>-5</v>
      </c>
      <c r="L478" t="s">
        <v>94</v>
      </c>
    </row>
    <row r="479" spans="1:12" x14ac:dyDescent="0.25">
      <c r="A479" s="21">
        <v>44496</v>
      </c>
      <c r="B479">
        <v>2021</v>
      </c>
      <c r="C479" t="s">
        <v>11</v>
      </c>
      <c r="D479" t="s">
        <v>12</v>
      </c>
      <c r="E479" t="s">
        <v>13</v>
      </c>
      <c r="F479" t="s">
        <v>64</v>
      </c>
      <c r="G479">
        <v>-5</v>
      </c>
      <c r="H479" t="s">
        <v>71</v>
      </c>
      <c r="I479">
        <v>0</v>
      </c>
      <c r="J479">
        <v>5</v>
      </c>
      <c r="K479">
        <v>-5</v>
      </c>
      <c r="L479" t="s">
        <v>94</v>
      </c>
    </row>
    <row r="480" spans="1:12" x14ac:dyDescent="0.25">
      <c r="A480" s="21">
        <v>44497</v>
      </c>
      <c r="B480">
        <v>2021</v>
      </c>
      <c r="C480" t="s">
        <v>11</v>
      </c>
      <c r="D480" t="s">
        <v>12</v>
      </c>
      <c r="E480" t="s">
        <v>13</v>
      </c>
      <c r="F480" t="s">
        <v>64</v>
      </c>
      <c r="G480">
        <v>-5</v>
      </c>
      <c r="H480" t="s">
        <v>71</v>
      </c>
      <c r="I480">
        <v>0</v>
      </c>
      <c r="J480">
        <v>5</v>
      </c>
      <c r="K480">
        <v>-5</v>
      </c>
      <c r="L480" t="s">
        <v>94</v>
      </c>
    </row>
    <row r="481" spans="1:12" x14ac:dyDescent="0.25">
      <c r="A481" s="21">
        <v>44498</v>
      </c>
      <c r="B481">
        <v>2021</v>
      </c>
      <c r="C481" t="s">
        <v>11</v>
      </c>
      <c r="D481" t="s">
        <v>12</v>
      </c>
      <c r="E481" t="s">
        <v>13</v>
      </c>
      <c r="F481" t="s">
        <v>64</v>
      </c>
      <c r="G481">
        <v>-5</v>
      </c>
      <c r="H481" t="s">
        <v>71</v>
      </c>
      <c r="I481">
        <v>0</v>
      </c>
      <c r="J481">
        <v>5</v>
      </c>
      <c r="K481">
        <v>-5</v>
      </c>
      <c r="L481" t="s">
        <v>94</v>
      </c>
    </row>
    <row r="482" spans="1:12" x14ac:dyDescent="0.25">
      <c r="A482" s="21">
        <v>44498</v>
      </c>
      <c r="B482">
        <v>2021</v>
      </c>
      <c r="C482" t="s">
        <v>21</v>
      </c>
      <c r="D482" t="s">
        <v>22</v>
      </c>
      <c r="E482" t="s">
        <v>17</v>
      </c>
      <c r="F482" t="s">
        <v>64</v>
      </c>
      <c r="G482">
        <v>-189</v>
      </c>
      <c r="H482" t="s">
        <v>71</v>
      </c>
      <c r="I482">
        <v>0</v>
      </c>
      <c r="J482">
        <v>189</v>
      </c>
      <c r="K482">
        <v>-189</v>
      </c>
      <c r="L482" t="s">
        <v>94</v>
      </c>
    </row>
    <row r="483" spans="1:12" x14ac:dyDescent="0.25">
      <c r="A483" s="21">
        <v>44499</v>
      </c>
      <c r="B483">
        <v>2021</v>
      </c>
      <c r="C483" t="s">
        <v>49</v>
      </c>
      <c r="D483" t="s">
        <v>30</v>
      </c>
      <c r="E483" t="s">
        <v>28</v>
      </c>
      <c r="F483" t="s">
        <v>67</v>
      </c>
      <c r="G483">
        <v>-133.80000000000001</v>
      </c>
      <c r="H483" t="s">
        <v>71</v>
      </c>
      <c r="I483">
        <v>0</v>
      </c>
      <c r="J483">
        <v>133.80000000000001</v>
      </c>
      <c r="K483">
        <v>-133.80000000000001</v>
      </c>
      <c r="L483" t="s">
        <v>94</v>
      </c>
    </row>
    <row r="484" spans="1:12" x14ac:dyDescent="0.25">
      <c r="A484" s="21">
        <v>44499</v>
      </c>
      <c r="B484">
        <v>2021</v>
      </c>
      <c r="C484" t="s">
        <v>50</v>
      </c>
      <c r="D484" t="s">
        <v>27</v>
      </c>
      <c r="E484" t="s">
        <v>28</v>
      </c>
      <c r="F484" t="s">
        <v>27</v>
      </c>
      <c r="G484">
        <v>-184.39999999999998</v>
      </c>
      <c r="H484" t="s">
        <v>74</v>
      </c>
      <c r="I484">
        <v>0</v>
      </c>
      <c r="J484">
        <v>184.39999999999998</v>
      </c>
      <c r="K484">
        <v>-184.39999999999998</v>
      </c>
      <c r="L484" t="s">
        <v>94</v>
      </c>
    </row>
    <row r="485" spans="1:12" x14ac:dyDescent="0.25">
      <c r="A485" s="21">
        <v>44500</v>
      </c>
      <c r="B485">
        <v>2021</v>
      </c>
      <c r="C485" t="s">
        <v>29</v>
      </c>
      <c r="D485" t="s">
        <v>30</v>
      </c>
      <c r="E485" t="s">
        <v>28</v>
      </c>
      <c r="F485" t="s">
        <v>67</v>
      </c>
      <c r="G485">
        <v>-154.49999999999997</v>
      </c>
      <c r="H485" t="s">
        <v>71</v>
      </c>
      <c r="I485">
        <v>0</v>
      </c>
      <c r="J485">
        <v>154.49999999999997</v>
      </c>
      <c r="K485">
        <v>-154.49999999999997</v>
      </c>
      <c r="L485" t="s">
        <v>94</v>
      </c>
    </row>
    <row r="486" spans="1:12" x14ac:dyDescent="0.25">
      <c r="A486" s="21">
        <v>44500</v>
      </c>
      <c r="B486">
        <v>2021</v>
      </c>
      <c r="C486" t="s">
        <v>33</v>
      </c>
      <c r="D486" t="s">
        <v>34</v>
      </c>
      <c r="E486" t="s">
        <v>20</v>
      </c>
      <c r="F486" t="s">
        <v>68</v>
      </c>
      <c r="G486">
        <v>-32.1</v>
      </c>
      <c r="H486" t="s">
        <v>74</v>
      </c>
      <c r="I486">
        <v>0</v>
      </c>
      <c r="J486">
        <v>32.1</v>
      </c>
      <c r="K486">
        <v>-32.1</v>
      </c>
      <c r="L486" t="s">
        <v>94</v>
      </c>
    </row>
    <row r="487" spans="1:12" x14ac:dyDescent="0.25">
      <c r="A487" s="21">
        <v>44500</v>
      </c>
      <c r="B487">
        <v>2021</v>
      </c>
      <c r="C487" t="s">
        <v>56</v>
      </c>
      <c r="D487" t="s">
        <v>32</v>
      </c>
      <c r="E487" t="s">
        <v>13</v>
      </c>
      <c r="F487" t="s">
        <v>64</v>
      </c>
      <c r="G487">
        <v>-15</v>
      </c>
      <c r="H487" t="s">
        <v>71</v>
      </c>
      <c r="I487">
        <v>0</v>
      </c>
      <c r="J487">
        <v>15</v>
      </c>
      <c r="K487">
        <v>-15</v>
      </c>
      <c r="L487" t="s">
        <v>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D0202-4CB1-4DA1-9917-976C93540085}">
  <dimension ref="A1:D487"/>
  <sheetViews>
    <sheetView workbookViewId="0">
      <selection activeCell="C1" sqref="C1"/>
    </sheetView>
  </sheetViews>
  <sheetFormatPr defaultRowHeight="15" x14ac:dyDescent="0.25"/>
  <cols>
    <col min="1" max="1" width="14.140625" bestFit="1" customWidth="1"/>
    <col min="2" max="2" width="17.7109375" bestFit="1" customWidth="1"/>
    <col min="3" max="3" width="14" bestFit="1" customWidth="1"/>
    <col min="4" max="4" width="14.28515625" bestFit="1" customWidth="1"/>
  </cols>
  <sheetData>
    <row r="1" spans="1:4" x14ac:dyDescent="0.25">
      <c r="A1" t="s">
        <v>88</v>
      </c>
      <c r="B1" t="s">
        <v>4</v>
      </c>
      <c r="C1" t="s">
        <v>95</v>
      </c>
      <c r="D1" t="s">
        <v>96</v>
      </c>
    </row>
    <row r="2" spans="1:4" x14ac:dyDescent="0.25">
      <c r="A2" t="s">
        <v>9</v>
      </c>
      <c r="B2" t="s">
        <v>8</v>
      </c>
      <c r="C2" t="str">
        <f>IF(A2="Salary","SAL-001",
IF(A2="Housing","HOU-002",
IF(A2="Food","FOO-003",
IF(A2="Transportation","TRA-004",
IF(A2="Utilities","UTI-005",
IF(A2="Entertainment","ENT-006",
IF(A2="Medical","MED-007",
IF(A2="Personal","PER-008",
IF(A2="Loan","LOA-009","PVE-010")))))))))</f>
        <v>SAL-001</v>
      </c>
      <c r="D2" t="str">
        <f>IF(OR(A2="Salary",A2="Passive"),"Income","Expense")</f>
        <v>Income</v>
      </c>
    </row>
    <row r="3" spans="1:4" x14ac:dyDescent="0.25">
      <c r="A3" t="s">
        <v>64</v>
      </c>
      <c r="B3" t="s">
        <v>12</v>
      </c>
      <c r="C3" t="str">
        <f t="shared" ref="C3:C66" si="0">IF(A3="Salary","SAL-001",
IF(A3="Housing","HOU-002",
IF(A3="Food","FOO-003",
IF(A3="Transportation","TRA-004",
IF(A3="Utilities","UTI-005",
IF(A3="Entertainment","ENT-006",
IF(A3="Medical","MED-007",
IF(A3="Personal","PER-008",
IF(A3="Loan","LOA-009","PVE-010")))))))))</f>
        <v>FOO-003</v>
      </c>
      <c r="D3" t="str">
        <f t="shared" ref="D3:D66" si="1">IF(OR(A3="Salary",A3="Passive"),"Income","Expense")</f>
        <v>Expense</v>
      </c>
    </row>
    <row r="4" spans="1:4" x14ac:dyDescent="0.25">
      <c r="A4" t="s">
        <v>65</v>
      </c>
      <c r="B4" t="s">
        <v>16</v>
      </c>
      <c r="C4" t="str">
        <f t="shared" si="0"/>
        <v>HOU-002</v>
      </c>
      <c r="D4" t="str">
        <f t="shared" si="1"/>
        <v>Expense</v>
      </c>
    </row>
    <row r="5" spans="1:4" x14ac:dyDescent="0.25">
      <c r="A5" t="s">
        <v>66</v>
      </c>
      <c r="B5" t="s">
        <v>19</v>
      </c>
      <c r="C5" t="str">
        <f t="shared" si="0"/>
        <v>LOA-009</v>
      </c>
      <c r="D5" t="str">
        <f t="shared" si="1"/>
        <v>Expense</v>
      </c>
    </row>
    <row r="6" spans="1:4" x14ac:dyDescent="0.25">
      <c r="A6" t="s">
        <v>64</v>
      </c>
      <c r="B6" t="s">
        <v>12</v>
      </c>
      <c r="C6" t="str">
        <f t="shared" si="0"/>
        <v>FOO-003</v>
      </c>
      <c r="D6" t="str">
        <f t="shared" si="1"/>
        <v>Expense</v>
      </c>
    </row>
    <row r="7" spans="1:4" x14ac:dyDescent="0.25">
      <c r="A7" t="s">
        <v>64</v>
      </c>
      <c r="B7" t="s">
        <v>12</v>
      </c>
      <c r="C7" t="str">
        <f t="shared" si="0"/>
        <v>FOO-003</v>
      </c>
      <c r="D7" t="str">
        <f t="shared" si="1"/>
        <v>Expense</v>
      </c>
    </row>
    <row r="8" spans="1:4" x14ac:dyDescent="0.25">
      <c r="A8" t="s">
        <v>64</v>
      </c>
      <c r="B8" t="s">
        <v>12</v>
      </c>
      <c r="C8" t="str">
        <f t="shared" si="0"/>
        <v>FOO-003</v>
      </c>
      <c r="D8" t="str">
        <f t="shared" si="1"/>
        <v>Expense</v>
      </c>
    </row>
    <row r="9" spans="1:4" x14ac:dyDescent="0.25">
      <c r="A9" t="s">
        <v>64</v>
      </c>
      <c r="B9" t="s">
        <v>12</v>
      </c>
      <c r="C9" t="str">
        <f t="shared" si="0"/>
        <v>FOO-003</v>
      </c>
      <c r="D9" t="str">
        <f t="shared" si="1"/>
        <v>Expense</v>
      </c>
    </row>
    <row r="10" spans="1:4" x14ac:dyDescent="0.25">
      <c r="A10" t="s">
        <v>64</v>
      </c>
      <c r="B10" t="s">
        <v>22</v>
      </c>
      <c r="C10" t="str">
        <f t="shared" si="0"/>
        <v>FOO-003</v>
      </c>
      <c r="D10" t="str">
        <f t="shared" si="1"/>
        <v>Expense</v>
      </c>
    </row>
    <row r="11" spans="1:4" x14ac:dyDescent="0.25">
      <c r="A11" t="s">
        <v>64</v>
      </c>
      <c r="B11" t="s">
        <v>24</v>
      </c>
      <c r="C11" t="str">
        <f t="shared" si="0"/>
        <v>FOO-003</v>
      </c>
      <c r="D11" t="str">
        <f t="shared" si="1"/>
        <v>Expense</v>
      </c>
    </row>
    <row r="12" spans="1:4" x14ac:dyDescent="0.25">
      <c r="A12" t="s">
        <v>64</v>
      </c>
      <c r="B12" t="s">
        <v>12</v>
      </c>
      <c r="C12" t="str">
        <f t="shared" si="0"/>
        <v>FOO-003</v>
      </c>
      <c r="D12" t="str">
        <f t="shared" si="1"/>
        <v>Expense</v>
      </c>
    </row>
    <row r="13" spans="1:4" x14ac:dyDescent="0.25">
      <c r="A13" t="s">
        <v>64</v>
      </c>
      <c r="B13" t="s">
        <v>12</v>
      </c>
      <c r="C13" t="str">
        <f t="shared" si="0"/>
        <v>FOO-003</v>
      </c>
      <c r="D13" t="str">
        <f t="shared" si="1"/>
        <v>Expense</v>
      </c>
    </row>
    <row r="14" spans="1:4" x14ac:dyDescent="0.25">
      <c r="A14" t="s">
        <v>64</v>
      </c>
      <c r="B14" t="s">
        <v>12</v>
      </c>
      <c r="C14" t="str">
        <f t="shared" si="0"/>
        <v>FOO-003</v>
      </c>
      <c r="D14" t="str">
        <f t="shared" si="1"/>
        <v>Expense</v>
      </c>
    </row>
    <row r="15" spans="1:4" x14ac:dyDescent="0.25">
      <c r="A15" t="s">
        <v>64</v>
      </c>
      <c r="B15" t="s">
        <v>12</v>
      </c>
      <c r="C15" t="str">
        <f t="shared" si="0"/>
        <v>FOO-003</v>
      </c>
      <c r="D15" t="str">
        <f t="shared" si="1"/>
        <v>Expense</v>
      </c>
    </row>
    <row r="16" spans="1:4" x14ac:dyDescent="0.25">
      <c r="A16" t="s">
        <v>64</v>
      </c>
      <c r="B16" t="s">
        <v>12</v>
      </c>
      <c r="C16" t="str">
        <f t="shared" si="0"/>
        <v>FOO-003</v>
      </c>
      <c r="D16" t="str">
        <f t="shared" si="1"/>
        <v>Expense</v>
      </c>
    </row>
    <row r="17" spans="1:4" x14ac:dyDescent="0.25">
      <c r="A17" t="s">
        <v>64</v>
      </c>
      <c r="B17" t="s">
        <v>22</v>
      </c>
      <c r="C17" t="str">
        <f t="shared" si="0"/>
        <v>FOO-003</v>
      </c>
      <c r="D17" t="str">
        <f t="shared" si="1"/>
        <v>Expense</v>
      </c>
    </row>
    <row r="18" spans="1:4" x14ac:dyDescent="0.25">
      <c r="A18" t="s">
        <v>64</v>
      </c>
      <c r="B18" t="s">
        <v>12</v>
      </c>
      <c r="C18" t="str">
        <f t="shared" si="0"/>
        <v>FOO-003</v>
      </c>
      <c r="D18" t="str">
        <f t="shared" si="1"/>
        <v>Expense</v>
      </c>
    </row>
    <row r="19" spans="1:4" x14ac:dyDescent="0.25">
      <c r="A19" t="s">
        <v>64</v>
      </c>
      <c r="B19" t="s">
        <v>12</v>
      </c>
      <c r="C19" t="str">
        <f t="shared" si="0"/>
        <v>FOO-003</v>
      </c>
      <c r="D19" t="str">
        <f t="shared" si="1"/>
        <v>Expense</v>
      </c>
    </row>
    <row r="20" spans="1:4" x14ac:dyDescent="0.25">
      <c r="A20" t="s">
        <v>27</v>
      </c>
      <c r="B20" t="s">
        <v>27</v>
      </c>
      <c r="C20" t="str">
        <f t="shared" si="0"/>
        <v>ENT-006</v>
      </c>
      <c r="D20" t="str">
        <f t="shared" si="1"/>
        <v>Expense</v>
      </c>
    </row>
    <row r="21" spans="1:4" x14ac:dyDescent="0.25">
      <c r="A21" t="s">
        <v>67</v>
      </c>
      <c r="B21" t="s">
        <v>30</v>
      </c>
      <c r="C21" t="str">
        <f t="shared" si="0"/>
        <v>PER-008</v>
      </c>
      <c r="D21" t="str">
        <f t="shared" si="1"/>
        <v>Expense</v>
      </c>
    </row>
    <row r="22" spans="1:4" x14ac:dyDescent="0.25">
      <c r="A22" t="s">
        <v>64</v>
      </c>
      <c r="B22" t="s">
        <v>32</v>
      </c>
      <c r="C22" t="str">
        <f t="shared" si="0"/>
        <v>FOO-003</v>
      </c>
      <c r="D22" t="str">
        <f t="shared" si="1"/>
        <v>Expense</v>
      </c>
    </row>
    <row r="23" spans="1:4" x14ac:dyDescent="0.25">
      <c r="A23" t="s">
        <v>68</v>
      </c>
      <c r="B23" t="s">
        <v>34</v>
      </c>
      <c r="C23" t="str">
        <f t="shared" si="0"/>
        <v>TRA-004</v>
      </c>
      <c r="D23" t="str">
        <f t="shared" si="1"/>
        <v>Expense</v>
      </c>
    </row>
    <row r="24" spans="1:4" x14ac:dyDescent="0.25">
      <c r="A24" t="s">
        <v>37</v>
      </c>
      <c r="B24" t="s">
        <v>36</v>
      </c>
      <c r="C24" t="str">
        <f t="shared" si="0"/>
        <v>PVE-010</v>
      </c>
      <c r="D24" t="str">
        <f t="shared" si="1"/>
        <v>Income</v>
      </c>
    </row>
    <row r="25" spans="1:4" x14ac:dyDescent="0.25">
      <c r="A25" t="s">
        <v>64</v>
      </c>
      <c r="B25" t="s">
        <v>12</v>
      </c>
      <c r="C25" t="str">
        <f t="shared" si="0"/>
        <v>FOO-003</v>
      </c>
      <c r="D25" t="str">
        <f t="shared" si="1"/>
        <v>Expense</v>
      </c>
    </row>
    <row r="26" spans="1:4" x14ac:dyDescent="0.25">
      <c r="A26" t="s">
        <v>64</v>
      </c>
      <c r="B26" t="s">
        <v>12</v>
      </c>
      <c r="C26" t="str">
        <f t="shared" si="0"/>
        <v>FOO-003</v>
      </c>
      <c r="D26" t="str">
        <f t="shared" si="1"/>
        <v>Expense</v>
      </c>
    </row>
    <row r="27" spans="1:4" x14ac:dyDescent="0.25">
      <c r="A27" t="s">
        <v>37</v>
      </c>
      <c r="B27" t="s">
        <v>38</v>
      </c>
      <c r="C27" t="str">
        <f t="shared" si="0"/>
        <v>PVE-010</v>
      </c>
      <c r="D27" t="str">
        <f t="shared" si="1"/>
        <v>Income</v>
      </c>
    </row>
    <row r="28" spans="1:4" x14ac:dyDescent="0.25">
      <c r="A28" t="s">
        <v>69</v>
      </c>
      <c r="B28" t="s">
        <v>39</v>
      </c>
      <c r="C28" t="str">
        <f t="shared" si="0"/>
        <v>UTI-005</v>
      </c>
      <c r="D28" t="str">
        <f t="shared" si="1"/>
        <v>Expense</v>
      </c>
    </row>
    <row r="29" spans="1:4" x14ac:dyDescent="0.25">
      <c r="A29" t="s">
        <v>67</v>
      </c>
      <c r="B29" t="s">
        <v>41</v>
      </c>
      <c r="C29" t="str">
        <f t="shared" si="0"/>
        <v>PER-008</v>
      </c>
      <c r="D29" t="str">
        <f t="shared" si="1"/>
        <v>Expense</v>
      </c>
    </row>
    <row r="30" spans="1:4" x14ac:dyDescent="0.25">
      <c r="A30" t="s">
        <v>27</v>
      </c>
      <c r="B30" t="s">
        <v>27</v>
      </c>
      <c r="C30" t="str">
        <f t="shared" si="0"/>
        <v>ENT-006</v>
      </c>
      <c r="D30" t="str">
        <f t="shared" si="1"/>
        <v>Expense</v>
      </c>
    </row>
    <row r="31" spans="1:4" x14ac:dyDescent="0.25">
      <c r="A31" t="s">
        <v>64</v>
      </c>
      <c r="B31" t="s">
        <v>12</v>
      </c>
      <c r="C31" t="str">
        <f t="shared" si="0"/>
        <v>FOO-003</v>
      </c>
      <c r="D31" t="str">
        <f t="shared" si="1"/>
        <v>Expense</v>
      </c>
    </row>
    <row r="32" spans="1:4" x14ac:dyDescent="0.25">
      <c r="A32" t="s">
        <v>64</v>
      </c>
      <c r="B32" t="s">
        <v>12</v>
      </c>
      <c r="C32" t="str">
        <f t="shared" si="0"/>
        <v>FOO-003</v>
      </c>
      <c r="D32" t="str">
        <f t="shared" si="1"/>
        <v>Expense</v>
      </c>
    </row>
    <row r="33" spans="1:4" x14ac:dyDescent="0.25">
      <c r="A33" t="s">
        <v>64</v>
      </c>
      <c r="B33" t="s">
        <v>12</v>
      </c>
      <c r="C33" t="str">
        <f t="shared" si="0"/>
        <v>FOO-003</v>
      </c>
      <c r="D33" t="str">
        <f t="shared" si="1"/>
        <v>Expense</v>
      </c>
    </row>
    <row r="34" spans="1:4" x14ac:dyDescent="0.25">
      <c r="A34" t="s">
        <v>64</v>
      </c>
      <c r="B34" t="s">
        <v>22</v>
      </c>
      <c r="C34" t="str">
        <f t="shared" si="0"/>
        <v>FOO-003</v>
      </c>
      <c r="D34" t="str">
        <f t="shared" si="1"/>
        <v>Expense</v>
      </c>
    </row>
    <row r="35" spans="1:4" x14ac:dyDescent="0.25">
      <c r="A35" t="s">
        <v>64</v>
      </c>
      <c r="B35" t="s">
        <v>32</v>
      </c>
      <c r="C35" t="str">
        <f t="shared" si="0"/>
        <v>FOO-003</v>
      </c>
      <c r="D35" t="str">
        <f t="shared" si="1"/>
        <v>Expense</v>
      </c>
    </row>
    <row r="36" spans="1:4" x14ac:dyDescent="0.25">
      <c r="A36" t="s">
        <v>64</v>
      </c>
      <c r="B36" t="s">
        <v>32</v>
      </c>
      <c r="C36" t="str">
        <f t="shared" si="0"/>
        <v>FOO-003</v>
      </c>
      <c r="D36" t="str">
        <f t="shared" si="1"/>
        <v>Expense</v>
      </c>
    </row>
    <row r="37" spans="1:4" x14ac:dyDescent="0.25">
      <c r="A37" t="s">
        <v>67</v>
      </c>
      <c r="B37" t="s">
        <v>46</v>
      </c>
      <c r="C37" t="str">
        <f t="shared" si="0"/>
        <v>PER-008</v>
      </c>
      <c r="D37" t="str">
        <f t="shared" si="1"/>
        <v>Expense</v>
      </c>
    </row>
    <row r="38" spans="1:4" x14ac:dyDescent="0.25">
      <c r="A38" t="s">
        <v>68</v>
      </c>
      <c r="B38" t="s">
        <v>48</v>
      </c>
      <c r="C38" t="str">
        <f t="shared" si="0"/>
        <v>TRA-004</v>
      </c>
      <c r="D38" t="str">
        <f t="shared" si="1"/>
        <v>Expense</v>
      </c>
    </row>
    <row r="39" spans="1:4" x14ac:dyDescent="0.25">
      <c r="A39" t="s">
        <v>64</v>
      </c>
      <c r="B39" t="s">
        <v>12</v>
      </c>
      <c r="C39" t="str">
        <f t="shared" si="0"/>
        <v>FOO-003</v>
      </c>
      <c r="D39" t="str">
        <f t="shared" si="1"/>
        <v>Expense</v>
      </c>
    </row>
    <row r="40" spans="1:4" x14ac:dyDescent="0.25">
      <c r="A40" t="s">
        <v>64</v>
      </c>
      <c r="B40" t="s">
        <v>12</v>
      </c>
      <c r="C40" t="str">
        <f t="shared" si="0"/>
        <v>FOO-003</v>
      </c>
      <c r="D40" t="str">
        <f t="shared" si="1"/>
        <v>Expense</v>
      </c>
    </row>
    <row r="41" spans="1:4" x14ac:dyDescent="0.25">
      <c r="A41" t="s">
        <v>64</v>
      </c>
      <c r="B41" t="s">
        <v>12</v>
      </c>
      <c r="C41" t="str">
        <f t="shared" si="0"/>
        <v>FOO-003</v>
      </c>
      <c r="D41" t="str">
        <f t="shared" si="1"/>
        <v>Expense</v>
      </c>
    </row>
    <row r="42" spans="1:4" x14ac:dyDescent="0.25">
      <c r="A42" t="s">
        <v>64</v>
      </c>
      <c r="B42" t="s">
        <v>12</v>
      </c>
      <c r="C42" t="str">
        <f t="shared" si="0"/>
        <v>FOO-003</v>
      </c>
      <c r="D42" t="str">
        <f t="shared" si="1"/>
        <v>Expense</v>
      </c>
    </row>
    <row r="43" spans="1:4" x14ac:dyDescent="0.25">
      <c r="A43" t="s">
        <v>64</v>
      </c>
      <c r="B43" t="s">
        <v>12</v>
      </c>
      <c r="C43" t="str">
        <f t="shared" si="0"/>
        <v>FOO-003</v>
      </c>
      <c r="D43" t="str">
        <f t="shared" si="1"/>
        <v>Expense</v>
      </c>
    </row>
    <row r="44" spans="1:4" x14ac:dyDescent="0.25">
      <c r="A44" t="s">
        <v>64</v>
      </c>
      <c r="B44" t="s">
        <v>22</v>
      </c>
      <c r="C44" t="str">
        <f t="shared" si="0"/>
        <v>FOO-003</v>
      </c>
      <c r="D44" t="str">
        <f t="shared" si="1"/>
        <v>Expense</v>
      </c>
    </row>
    <row r="45" spans="1:4" x14ac:dyDescent="0.25">
      <c r="A45" t="s">
        <v>67</v>
      </c>
      <c r="B45" t="s">
        <v>30</v>
      </c>
      <c r="C45" t="str">
        <f t="shared" si="0"/>
        <v>PER-008</v>
      </c>
      <c r="D45" t="str">
        <f t="shared" si="1"/>
        <v>Expense</v>
      </c>
    </row>
    <row r="46" spans="1:4" x14ac:dyDescent="0.25">
      <c r="A46" t="s">
        <v>27</v>
      </c>
      <c r="B46" t="s">
        <v>27</v>
      </c>
      <c r="C46" t="str">
        <f t="shared" si="0"/>
        <v>ENT-006</v>
      </c>
      <c r="D46" t="str">
        <f t="shared" si="1"/>
        <v>Expense</v>
      </c>
    </row>
    <row r="47" spans="1:4" x14ac:dyDescent="0.25">
      <c r="A47" t="s">
        <v>67</v>
      </c>
      <c r="B47" t="s">
        <v>30</v>
      </c>
      <c r="C47" t="str">
        <f t="shared" si="0"/>
        <v>PER-008</v>
      </c>
      <c r="D47" t="str">
        <f t="shared" si="1"/>
        <v>Expense</v>
      </c>
    </row>
    <row r="48" spans="1:4" x14ac:dyDescent="0.25">
      <c r="A48" t="s">
        <v>68</v>
      </c>
      <c r="B48" t="s">
        <v>34</v>
      </c>
      <c r="C48" t="str">
        <f t="shared" si="0"/>
        <v>TRA-004</v>
      </c>
      <c r="D48" t="str">
        <f t="shared" si="1"/>
        <v>Expense</v>
      </c>
    </row>
    <row r="49" spans="1:4" x14ac:dyDescent="0.25">
      <c r="A49" t="s">
        <v>9</v>
      </c>
      <c r="B49" t="s">
        <v>8</v>
      </c>
      <c r="C49" t="str">
        <f t="shared" si="0"/>
        <v>SAL-001</v>
      </c>
      <c r="D49" t="str">
        <f t="shared" si="1"/>
        <v>Income</v>
      </c>
    </row>
    <row r="50" spans="1:4" x14ac:dyDescent="0.25">
      <c r="A50" t="s">
        <v>64</v>
      </c>
      <c r="B50" t="s">
        <v>12</v>
      </c>
      <c r="C50" t="str">
        <f t="shared" si="0"/>
        <v>FOO-003</v>
      </c>
      <c r="D50" t="str">
        <f t="shared" si="1"/>
        <v>Expense</v>
      </c>
    </row>
    <row r="51" spans="1:4" x14ac:dyDescent="0.25">
      <c r="A51" t="s">
        <v>65</v>
      </c>
      <c r="B51" t="s">
        <v>16</v>
      </c>
      <c r="C51" t="str">
        <f t="shared" si="0"/>
        <v>HOU-002</v>
      </c>
      <c r="D51" t="str">
        <f t="shared" si="1"/>
        <v>Expense</v>
      </c>
    </row>
    <row r="52" spans="1:4" x14ac:dyDescent="0.25">
      <c r="A52" t="s">
        <v>66</v>
      </c>
      <c r="B52" t="s">
        <v>19</v>
      </c>
      <c r="C52" t="str">
        <f t="shared" si="0"/>
        <v>LOA-009</v>
      </c>
      <c r="D52" t="str">
        <f t="shared" si="1"/>
        <v>Expense</v>
      </c>
    </row>
    <row r="53" spans="1:4" x14ac:dyDescent="0.25">
      <c r="A53" t="s">
        <v>64</v>
      </c>
      <c r="B53" t="s">
        <v>12</v>
      </c>
      <c r="C53" t="str">
        <f t="shared" si="0"/>
        <v>FOO-003</v>
      </c>
      <c r="D53" t="str">
        <f t="shared" si="1"/>
        <v>Expense</v>
      </c>
    </row>
    <row r="54" spans="1:4" x14ac:dyDescent="0.25">
      <c r="A54" t="s">
        <v>64</v>
      </c>
      <c r="B54" t="s">
        <v>12</v>
      </c>
      <c r="C54" t="str">
        <f t="shared" si="0"/>
        <v>FOO-003</v>
      </c>
      <c r="D54" t="str">
        <f t="shared" si="1"/>
        <v>Expense</v>
      </c>
    </row>
    <row r="55" spans="1:4" x14ac:dyDescent="0.25">
      <c r="A55" t="s">
        <v>64</v>
      </c>
      <c r="B55" t="s">
        <v>12</v>
      </c>
      <c r="C55" t="str">
        <f t="shared" si="0"/>
        <v>FOO-003</v>
      </c>
      <c r="D55" t="str">
        <f t="shared" si="1"/>
        <v>Expense</v>
      </c>
    </row>
    <row r="56" spans="1:4" x14ac:dyDescent="0.25">
      <c r="A56" t="s">
        <v>64</v>
      </c>
      <c r="B56" t="s">
        <v>12</v>
      </c>
      <c r="C56" t="str">
        <f t="shared" si="0"/>
        <v>FOO-003</v>
      </c>
      <c r="D56" t="str">
        <f t="shared" si="1"/>
        <v>Expense</v>
      </c>
    </row>
    <row r="57" spans="1:4" x14ac:dyDescent="0.25">
      <c r="A57" t="s">
        <v>64</v>
      </c>
      <c r="B57" t="s">
        <v>22</v>
      </c>
      <c r="C57" t="str">
        <f t="shared" si="0"/>
        <v>FOO-003</v>
      </c>
      <c r="D57" t="str">
        <f t="shared" si="1"/>
        <v>Expense</v>
      </c>
    </row>
    <row r="58" spans="1:4" x14ac:dyDescent="0.25">
      <c r="A58" t="s">
        <v>64</v>
      </c>
      <c r="B58" t="s">
        <v>24</v>
      </c>
      <c r="C58" t="str">
        <f t="shared" si="0"/>
        <v>FOO-003</v>
      </c>
      <c r="D58" t="str">
        <f t="shared" si="1"/>
        <v>Expense</v>
      </c>
    </row>
    <row r="59" spans="1:4" x14ac:dyDescent="0.25">
      <c r="A59" t="s">
        <v>64</v>
      </c>
      <c r="B59" t="s">
        <v>12</v>
      </c>
      <c r="C59" t="str">
        <f t="shared" si="0"/>
        <v>FOO-003</v>
      </c>
      <c r="D59" t="str">
        <f t="shared" si="1"/>
        <v>Expense</v>
      </c>
    </row>
    <row r="60" spans="1:4" x14ac:dyDescent="0.25">
      <c r="A60" t="s">
        <v>64</v>
      </c>
      <c r="B60" t="s">
        <v>12</v>
      </c>
      <c r="C60" t="str">
        <f t="shared" si="0"/>
        <v>FOO-003</v>
      </c>
      <c r="D60" t="str">
        <f t="shared" si="1"/>
        <v>Expense</v>
      </c>
    </row>
    <row r="61" spans="1:4" x14ac:dyDescent="0.25">
      <c r="A61" t="s">
        <v>68</v>
      </c>
      <c r="B61" t="s">
        <v>48</v>
      </c>
      <c r="C61" t="str">
        <f t="shared" si="0"/>
        <v>TRA-004</v>
      </c>
      <c r="D61" t="str">
        <f t="shared" si="1"/>
        <v>Expense</v>
      </c>
    </row>
    <row r="62" spans="1:4" x14ac:dyDescent="0.25">
      <c r="A62" t="s">
        <v>64</v>
      </c>
      <c r="B62" t="s">
        <v>12</v>
      </c>
      <c r="C62" t="str">
        <f t="shared" si="0"/>
        <v>FOO-003</v>
      </c>
      <c r="D62" t="str">
        <f t="shared" si="1"/>
        <v>Expense</v>
      </c>
    </row>
    <row r="63" spans="1:4" x14ac:dyDescent="0.25">
      <c r="A63" t="s">
        <v>64</v>
      </c>
      <c r="B63" t="s">
        <v>12</v>
      </c>
      <c r="C63" t="str">
        <f t="shared" si="0"/>
        <v>FOO-003</v>
      </c>
      <c r="D63" t="str">
        <f t="shared" si="1"/>
        <v>Expense</v>
      </c>
    </row>
    <row r="64" spans="1:4" x14ac:dyDescent="0.25">
      <c r="A64" t="s">
        <v>64</v>
      </c>
      <c r="B64" t="s">
        <v>22</v>
      </c>
      <c r="C64" t="str">
        <f t="shared" si="0"/>
        <v>FOO-003</v>
      </c>
      <c r="D64" t="str">
        <f t="shared" si="1"/>
        <v>Expense</v>
      </c>
    </row>
    <row r="65" spans="1:4" x14ac:dyDescent="0.25">
      <c r="A65" t="s">
        <v>64</v>
      </c>
      <c r="B65" t="s">
        <v>12</v>
      </c>
      <c r="C65" t="str">
        <f t="shared" si="0"/>
        <v>FOO-003</v>
      </c>
      <c r="D65" t="str">
        <f t="shared" si="1"/>
        <v>Expense</v>
      </c>
    </row>
    <row r="66" spans="1:4" x14ac:dyDescent="0.25">
      <c r="A66" t="s">
        <v>64</v>
      </c>
      <c r="B66" t="s">
        <v>12</v>
      </c>
      <c r="C66" t="str">
        <f t="shared" si="0"/>
        <v>FOO-003</v>
      </c>
      <c r="D66" t="str">
        <f t="shared" si="1"/>
        <v>Expense</v>
      </c>
    </row>
    <row r="67" spans="1:4" x14ac:dyDescent="0.25">
      <c r="A67" t="s">
        <v>27</v>
      </c>
      <c r="B67" t="s">
        <v>27</v>
      </c>
      <c r="C67" t="str">
        <f t="shared" ref="C67:C130" si="2">IF(A67="Salary","SAL-001",
IF(A67="Housing","HOU-002",
IF(A67="Food","FOO-003",
IF(A67="Transportation","TRA-004",
IF(A67="Utilities","UTI-005",
IF(A67="Entertainment","ENT-006",
IF(A67="Medical","MED-007",
IF(A67="Personal","PER-008",
IF(A67="Loan","LOA-009","PVE-010")))))))))</f>
        <v>ENT-006</v>
      </c>
      <c r="D67" t="str">
        <f t="shared" ref="D67:D130" si="3">IF(OR(A67="Salary",A67="Passive"),"Income","Expense")</f>
        <v>Expense</v>
      </c>
    </row>
    <row r="68" spans="1:4" x14ac:dyDescent="0.25">
      <c r="A68" t="s">
        <v>67</v>
      </c>
      <c r="B68" t="s">
        <v>30</v>
      </c>
      <c r="C68" t="str">
        <f t="shared" si="2"/>
        <v>PER-008</v>
      </c>
      <c r="D68" t="str">
        <f t="shared" si="3"/>
        <v>Expense</v>
      </c>
    </row>
    <row r="69" spans="1:4" x14ac:dyDescent="0.25">
      <c r="A69" t="s">
        <v>64</v>
      </c>
      <c r="B69" t="s">
        <v>32</v>
      </c>
      <c r="C69" t="str">
        <f t="shared" si="2"/>
        <v>FOO-003</v>
      </c>
      <c r="D69" t="str">
        <f t="shared" si="3"/>
        <v>Expense</v>
      </c>
    </row>
    <row r="70" spans="1:4" x14ac:dyDescent="0.25">
      <c r="A70" t="s">
        <v>68</v>
      </c>
      <c r="B70" t="s">
        <v>34</v>
      </c>
      <c r="C70" t="str">
        <f t="shared" si="2"/>
        <v>TRA-004</v>
      </c>
      <c r="D70" t="str">
        <f t="shared" si="3"/>
        <v>Expense</v>
      </c>
    </row>
    <row r="71" spans="1:4" x14ac:dyDescent="0.25">
      <c r="A71" t="s">
        <v>37</v>
      </c>
      <c r="B71" t="s">
        <v>36</v>
      </c>
      <c r="C71" t="str">
        <f t="shared" si="2"/>
        <v>PVE-010</v>
      </c>
      <c r="D71" t="str">
        <f t="shared" si="3"/>
        <v>Income</v>
      </c>
    </row>
    <row r="72" spans="1:4" x14ac:dyDescent="0.25">
      <c r="A72" t="s">
        <v>64</v>
      </c>
      <c r="B72" t="s">
        <v>12</v>
      </c>
      <c r="C72" t="str">
        <f t="shared" si="2"/>
        <v>FOO-003</v>
      </c>
      <c r="D72" t="str">
        <f t="shared" si="3"/>
        <v>Expense</v>
      </c>
    </row>
    <row r="73" spans="1:4" x14ac:dyDescent="0.25">
      <c r="A73" t="s">
        <v>64</v>
      </c>
      <c r="B73" t="s">
        <v>12</v>
      </c>
      <c r="C73" t="str">
        <f t="shared" si="2"/>
        <v>FOO-003</v>
      </c>
      <c r="D73" t="str">
        <f t="shared" si="3"/>
        <v>Expense</v>
      </c>
    </row>
    <row r="74" spans="1:4" x14ac:dyDescent="0.25">
      <c r="A74" t="s">
        <v>69</v>
      </c>
      <c r="B74" t="s">
        <v>39</v>
      </c>
      <c r="C74" t="str">
        <f t="shared" si="2"/>
        <v>UTI-005</v>
      </c>
      <c r="D74" t="str">
        <f t="shared" si="3"/>
        <v>Expense</v>
      </c>
    </row>
    <row r="75" spans="1:4" x14ac:dyDescent="0.25">
      <c r="A75" t="s">
        <v>67</v>
      </c>
      <c r="B75" t="s">
        <v>41</v>
      </c>
      <c r="C75" t="str">
        <f t="shared" si="2"/>
        <v>PER-008</v>
      </c>
      <c r="D75" t="str">
        <f t="shared" si="3"/>
        <v>Expense</v>
      </c>
    </row>
    <row r="76" spans="1:4" x14ac:dyDescent="0.25">
      <c r="A76" t="s">
        <v>27</v>
      </c>
      <c r="B76" t="s">
        <v>27</v>
      </c>
      <c r="C76" t="str">
        <f t="shared" si="2"/>
        <v>ENT-006</v>
      </c>
      <c r="D76" t="str">
        <f t="shared" si="3"/>
        <v>Expense</v>
      </c>
    </row>
    <row r="77" spans="1:4" x14ac:dyDescent="0.25">
      <c r="A77" t="s">
        <v>64</v>
      </c>
      <c r="B77" t="s">
        <v>12</v>
      </c>
      <c r="C77" t="str">
        <f t="shared" si="2"/>
        <v>FOO-003</v>
      </c>
      <c r="D77" t="str">
        <f t="shared" si="3"/>
        <v>Expense</v>
      </c>
    </row>
    <row r="78" spans="1:4" x14ac:dyDescent="0.25">
      <c r="A78" t="s">
        <v>64</v>
      </c>
      <c r="B78" t="s">
        <v>12</v>
      </c>
      <c r="C78" t="str">
        <f t="shared" si="2"/>
        <v>FOO-003</v>
      </c>
      <c r="D78" t="str">
        <f t="shared" si="3"/>
        <v>Expense</v>
      </c>
    </row>
    <row r="79" spans="1:4" x14ac:dyDescent="0.25">
      <c r="A79" t="s">
        <v>64</v>
      </c>
      <c r="B79" t="s">
        <v>12</v>
      </c>
      <c r="C79" t="str">
        <f t="shared" si="2"/>
        <v>FOO-003</v>
      </c>
      <c r="D79" t="str">
        <f t="shared" si="3"/>
        <v>Expense</v>
      </c>
    </row>
    <row r="80" spans="1:4" x14ac:dyDescent="0.25">
      <c r="A80" t="s">
        <v>64</v>
      </c>
      <c r="B80" t="s">
        <v>22</v>
      </c>
      <c r="C80" t="str">
        <f t="shared" si="2"/>
        <v>FOO-003</v>
      </c>
      <c r="D80" t="str">
        <f t="shared" si="3"/>
        <v>Expense</v>
      </c>
    </row>
    <row r="81" spans="1:4" x14ac:dyDescent="0.25">
      <c r="A81" t="s">
        <v>64</v>
      </c>
      <c r="B81" t="s">
        <v>32</v>
      </c>
      <c r="C81" t="str">
        <f t="shared" si="2"/>
        <v>FOO-003</v>
      </c>
      <c r="D81" t="str">
        <f t="shared" si="3"/>
        <v>Expense</v>
      </c>
    </row>
    <row r="82" spans="1:4" x14ac:dyDescent="0.25">
      <c r="A82" t="s">
        <v>64</v>
      </c>
      <c r="B82" t="s">
        <v>32</v>
      </c>
      <c r="C82" t="str">
        <f t="shared" si="2"/>
        <v>FOO-003</v>
      </c>
      <c r="D82" t="str">
        <f t="shared" si="3"/>
        <v>Expense</v>
      </c>
    </row>
    <row r="83" spans="1:4" x14ac:dyDescent="0.25">
      <c r="A83" t="s">
        <v>67</v>
      </c>
      <c r="B83" t="s">
        <v>46</v>
      </c>
      <c r="C83" t="str">
        <f t="shared" si="2"/>
        <v>PER-008</v>
      </c>
      <c r="D83" t="str">
        <f t="shared" si="3"/>
        <v>Expense</v>
      </c>
    </row>
    <row r="84" spans="1:4" x14ac:dyDescent="0.25">
      <c r="A84" t="s">
        <v>68</v>
      </c>
      <c r="B84" t="s">
        <v>48</v>
      </c>
      <c r="C84" t="str">
        <f t="shared" si="2"/>
        <v>TRA-004</v>
      </c>
      <c r="D84" t="str">
        <f t="shared" si="3"/>
        <v>Expense</v>
      </c>
    </row>
    <row r="85" spans="1:4" x14ac:dyDescent="0.25">
      <c r="A85" t="s">
        <v>64</v>
      </c>
      <c r="B85" t="s">
        <v>12</v>
      </c>
      <c r="C85" t="str">
        <f t="shared" si="2"/>
        <v>FOO-003</v>
      </c>
      <c r="D85" t="str">
        <f t="shared" si="3"/>
        <v>Expense</v>
      </c>
    </row>
    <row r="86" spans="1:4" x14ac:dyDescent="0.25">
      <c r="A86" t="s">
        <v>64</v>
      </c>
      <c r="B86" t="s">
        <v>12</v>
      </c>
      <c r="C86" t="str">
        <f t="shared" si="2"/>
        <v>FOO-003</v>
      </c>
      <c r="D86" t="str">
        <f t="shared" si="3"/>
        <v>Expense</v>
      </c>
    </row>
    <row r="87" spans="1:4" x14ac:dyDescent="0.25">
      <c r="A87" t="s">
        <v>64</v>
      </c>
      <c r="B87" t="s">
        <v>12</v>
      </c>
      <c r="C87" t="str">
        <f t="shared" si="2"/>
        <v>FOO-003</v>
      </c>
      <c r="D87" t="str">
        <f t="shared" si="3"/>
        <v>Expense</v>
      </c>
    </row>
    <row r="88" spans="1:4" x14ac:dyDescent="0.25">
      <c r="A88" t="s">
        <v>64</v>
      </c>
      <c r="B88" t="s">
        <v>12</v>
      </c>
      <c r="C88" t="str">
        <f t="shared" si="2"/>
        <v>FOO-003</v>
      </c>
      <c r="D88" t="str">
        <f t="shared" si="3"/>
        <v>Expense</v>
      </c>
    </row>
    <row r="89" spans="1:4" x14ac:dyDescent="0.25">
      <c r="A89" t="s">
        <v>64</v>
      </c>
      <c r="B89" t="s">
        <v>12</v>
      </c>
      <c r="C89" t="str">
        <f t="shared" si="2"/>
        <v>FOO-003</v>
      </c>
      <c r="D89" t="str">
        <f t="shared" si="3"/>
        <v>Expense</v>
      </c>
    </row>
    <row r="90" spans="1:4" x14ac:dyDescent="0.25">
      <c r="A90" t="s">
        <v>64</v>
      </c>
      <c r="B90" t="s">
        <v>22</v>
      </c>
      <c r="C90" t="str">
        <f t="shared" si="2"/>
        <v>FOO-003</v>
      </c>
      <c r="D90" t="str">
        <f t="shared" si="3"/>
        <v>Expense</v>
      </c>
    </row>
    <row r="91" spans="1:4" x14ac:dyDescent="0.25">
      <c r="A91" t="s">
        <v>67</v>
      </c>
      <c r="B91" t="s">
        <v>30</v>
      </c>
      <c r="C91" t="str">
        <f t="shared" si="2"/>
        <v>PER-008</v>
      </c>
      <c r="D91" t="str">
        <f t="shared" si="3"/>
        <v>Expense</v>
      </c>
    </row>
    <row r="92" spans="1:4" x14ac:dyDescent="0.25">
      <c r="A92" t="s">
        <v>67</v>
      </c>
      <c r="B92" t="s">
        <v>30</v>
      </c>
      <c r="C92" t="str">
        <f t="shared" si="2"/>
        <v>PER-008</v>
      </c>
      <c r="D92" t="str">
        <f t="shared" si="3"/>
        <v>Expense</v>
      </c>
    </row>
    <row r="93" spans="1:4" x14ac:dyDescent="0.25">
      <c r="A93" t="s">
        <v>67</v>
      </c>
      <c r="B93" t="s">
        <v>30</v>
      </c>
      <c r="C93" t="str">
        <f t="shared" si="2"/>
        <v>PER-008</v>
      </c>
      <c r="D93" t="str">
        <f t="shared" si="3"/>
        <v>Expense</v>
      </c>
    </row>
    <row r="94" spans="1:4" x14ac:dyDescent="0.25">
      <c r="A94" t="s">
        <v>68</v>
      </c>
      <c r="B94" t="s">
        <v>34</v>
      </c>
      <c r="C94" t="str">
        <f t="shared" si="2"/>
        <v>TRA-004</v>
      </c>
      <c r="D94" t="str">
        <f t="shared" si="3"/>
        <v>Expense</v>
      </c>
    </row>
    <row r="95" spans="1:4" x14ac:dyDescent="0.25">
      <c r="A95" t="s">
        <v>9</v>
      </c>
      <c r="B95" t="s">
        <v>8</v>
      </c>
      <c r="C95" t="str">
        <f t="shared" si="2"/>
        <v>SAL-001</v>
      </c>
      <c r="D95" t="str">
        <f t="shared" si="3"/>
        <v>Income</v>
      </c>
    </row>
    <row r="96" spans="1:4" x14ac:dyDescent="0.25">
      <c r="A96" t="s">
        <v>64</v>
      </c>
      <c r="B96" t="s">
        <v>12</v>
      </c>
      <c r="C96" t="str">
        <f t="shared" si="2"/>
        <v>FOO-003</v>
      </c>
      <c r="D96" t="str">
        <f t="shared" si="3"/>
        <v>Expense</v>
      </c>
    </row>
    <row r="97" spans="1:4" x14ac:dyDescent="0.25">
      <c r="A97" t="s">
        <v>65</v>
      </c>
      <c r="B97" t="s">
        <v>16</v>
      </c>
      <c r="C97" t="str">
        <f t="shared" si="2"/>
        <v>HOU-002</v>
      </c>
      <c r="D97" t="str">
        <f t="shared" si="3"/>
        <v>Expense</v>
      </c>
    </row>
    <row r="98" spans="1:4" x14ac:dyDescent="0.25">
      <c r="A98" t="s">
        <v>66</v>
      </c>
      <c r="B98" t="s">
        <v>19</v>
      </c>
      <c r="C98" t="str">
        <f t="shared" si="2"/>
        <v>LOA-009</v>
      </c>
      <c r="D98" t="str">
        <f t="shared" si="3"/>
        <v>Expense</v>
      </c>
    </row>
    <row r="99" spans="1:4" x14ac:dyDescent="0.25">
      <c r="A99" t="s">
        <v>64</v>
      </c>
      <c r="B99" t="s">
        <v>12</v>
      </c>
      <c r="C99" t="str">
        <f t="shared" si="2"/>
        <v>FOO-003</v>
      </c>
      <c r="D99" t="str">
        <f t="shared" si="3"/>
        <v>Expense</v>
      </c>
    </row>
    <row r="100" spans="1:4" x14ac:dyDescent="0.25">
      <c r="A100" t="s">
        <v>64</v>
      </c>
      <c r="B100" t="s">
        <v>12</v>
      </c>
      <c r="C100" t="str">
        <f t="shared" si="2"/>
        <v>FOO-003</v>
      </c>
      <c r="D100" t="str">
        <f t="shared" si="3"/>
        <v>Expense</v>
      </c>
    </row>
    <row r="101" spans="1:4" x14ac:dyDescent="0.25">
      <c r="A101" t="s">
        <v>64</v>
      </c>
      <c r="B101" t="s">
        <v>12</v>
      </c>
      <c r="C101" t="str">
        <f t="shared" si="2"/>
        <v>FOO-003</v>
      </c>
      <c r="D101" t="str">
        <f t="shared" si="3"/>
        <v>Expense</v>
      </c>
    </row>
    <row r="102" spans="1:4" x14ac:dyDescent="0.25">
      <c r="A102" t="s">
        <v>64</v>
      </c>
      <c r="B102" t="s">
        <v>12</v>
      </c>
      <c r="C102" t="str">
        <f t="shared" si="2"/>
        <v>FOO-003</v>
      </c>
      <c r="D102" t="str">
        <f t="shared" si="3"/>
        <v>Expense</v>
      </c>
    </row>
    <row r="103" spans="1:4" x14ac:dyDescent="0.25">
      <c r="A103" t="s">
        <v>64</v>
      </c>
      <c r="B103" t="s">
        <v>22</v>
      </c>
      <c r="C103" t="str">
        <f t="shared" si="2"/>
        <v>FOO-003</v>
      </c>
      <c r="D103" t="str">
        <f t="shared" si="3"/>
        <v>Expense</v>
      </c>
    </row>
    <row r="104" spans="1:4" x14ac:dyDescent="0.25">
      <c r="A104" t="s">
        <v>64</v>
      </c>
      <c r="B104" t="s">
        <v>24</v>
      </c>
      <c r="C104" t="str">
        <f t="shared" si="2"/>
        <v>FOO-003</v>
      </c>
      <c r="D104" t="str">
        <f t="shared" si="3"/>
        <v>Expense</v>
      </c>
    </row>
    <row r="105" spans="1:4" x14ac:dyDescent="0.25">
      <c r="A105" t="s">
        <v>64</v>
      </c>
      <c r="B105" t="s">
        <v>12</v>
      </c>
      <c r="C105" t="str">
        <f t="shared" si="2"/>
        <v>FOO-003</v>
      </c>
      <c r="D105" t="str">
        <f t="shared" si="3"/>
        <v>Expense</v>
      </c>
    </row>
    <row r="106" spans="1:4" x14ac:dyDescent="0.25">
      <c r="A106" t="s">
        <v>64</v>
      </c>
      <c r="B106" t="s">
        <v>12</v>
      </c>
      <c r="C106" t="str">
        <f t="shared" si="2"/>
        <v>FOO-003</v>
      </c>
      <c r="D106" t="str">
        <f t="shared" si="3"/>
        <v>Expense</v>
      </c>
    </row>
    <row r="107" spans="1:4" x14ac:dyDescent="0.25">
      <c r="A107" t="s">
        <v>68</v>
      </c>
      <c r="B107" t="s">
        <v>48</v>
      </c>
      <c r="C107" t="str">
        <f t="shared" si="2"/>
        <v>TRA-004</v>
      </c>
      <c r="D107" t="str">
        <f t="shared" si="3"/>
        <v>Expense</v>
      </c>
    </row>
    <row r="108" spans="1:4" x14ac:dyDescent="0.25">
      <c r="A108" t="s">
        <v>64</v>
      </c>
      <c r="B108" t="s">
        <v>12</v>
      </c>
      <c r="C108" t="str">
        <f t="shared" si="2"/>
        <v>FOO-003</v>
      </c>
      <c r="D108" t="str">
        <f t="shared" si="3"/>
        <v>Expense</v>
      </c>
    </row>
    <row r="109" spans="1:4" x14ac:dyDescent="0.25">
      <c r="A109" t="s">
        <v>64</v>
      </c>
      <c r="B109" t="s">
        <v>12</v>
      </c>
      <c r="C109" t="str">
        <f t="shared" si="2"/>
        <v>FOO-003</v>
      </c>
      <c r="D109" t="str">
        <f t="shared" si="3"/>
        <v>Expense</v>
      </c>
    </row>
    <row r="110" spans="1:4" x14ac:dyDescent="0.25">
      <c r="A110" t="s">
        <v>64</v>
      </c>
      <c r="B110" t="s">
        <v>22</v>
      </c>
      <c r="C110" t="str">
        <f t="shared" si="2"/>
        <v>FOO-003</v>
      </c>
      <c r="D110" t="str">
        <f t="shared" si="3"/>
        <v>Expense</v>
      </c>
    </row>
    <row r="111" spans="1:4" x14ac:dyDescent="0.25">
      <c r="A111" t="s">
        <v>64</v>
      </c>
      <c r="B111" t="s">
        <v>12</v>
      </c>
      <c r="C111" t="str">
        <f t="shared" si="2"/>
        <v>FOO-003</v>
      </c>
      <c r="D111" t="str">
        <f t="shared" si="3"/>
        <v>Expense</v>
      </c>
    </row>
    <row r="112" spans="1:4" x14ac:dyDescent="0.25">
      <c r="A112" t="s">
        <v>64</v>
      </c>
      <c r="B112" t="s">
        <v>12</v>
      </c>
      <c r="C112" t="str">
        <f t="shared" si="2"/>
        <v>FOO-003</v>
      </c>
      <c r="D112" t="str">
        <f t="shared" si="3"/>
        <v>Expense</v>
      </c>
    </row>
    <row r="113" spans="1:4" x14ac:dyDescent="0.25">
      <c r="A113" t="s">
        <v>27</v>
      </c>
      <c r="B113" t="s">
        <v>27</v>
      </c>
      <c r="C113" t="str">
        <f t="shared" si="2"/>
        <v>ENT-006</v>
      </c>
      <c r="D113" t="str">
        <f t="shared" si="3"/>
        <v>Expense</v>
      </c>
    </row>
    <row r="114" spans="1:4" x14ac:dyDescent="0.25">
      <c r="A114" t="s">
        <v>67</v>
      </c>
      <c r="B114" t="s">
        <v>30</v>
      </c>
      <c r="C114" t="str">
        <f t="shared" si="2"/>
        <v>PER-008</v>
      </c>
      <c r="D114" t="str">
        <f t="shared" si="3"/>
        <v>Expense</v>
      </c>
    </row>
    <row r="115" spans="1:4" x14ac:dyDescent="0.25">
      <c r="A115" t="s">
        <v>64</v>
      </c>
      <c r="B115" t="s">
        <v>32</v>
      </c>
      <c r="C115" t="str">
        <f t="shared" si="2"/>
        <v>FOO-003</v>
      </c>
      <c r="D115" t="str">
        <f t="shared" si="3"/>
        <v>Expense</v>
      </c>
    </row>
    <row r="116" spans="1:4" x14ac:dyDescent="0.25">
      <c r="A116" t="s">
        <v>68</v>
      </c>
      <c r="B116" t="s">
        <v>34</v>
      </c>
      <c r="C116" t="str">
        <f t="shared" si="2"/>
        <v>TRA-004</v>
      </c>
      <c r="D116" t="str">
        <f t="shared" si="3"/>
        <v>Expense</v>
      </c>
    </row>
    <row r="117" spans="1:4" x14ac:dyDescent="0.25">
      <c r="A117" t="s">
        <v>37</v>
      </c>
      <c r="B117" t="s">
        <v>36</v>
      </c>
      <c r="C117" t="str">
        <f t="shared" si="2"/>
        <v>PVE-010</v>
      </c>
      <c r="D117" t="str">
        <f t="shared" si="3"/>
        <v>Income</v>
      </c>
    </row>
    <row r="118" spans="1:4" x14ac:dyDescent="0.25">
      <c r="A118" t="s">
        <v>64</v>
      </c>
      <c r="B118" t="s">
        <v>12</v>
      </c>
      <c r="C118" t="str">
        <f t="shared" si="2"/>
        <v>FOO-003</v>
      </c>
      <c r="D118" t="str">
        <f t="shared" si="3"/>
        <v>Expense</v>
      </c>
    </row>
    <row r="119" spans="1:4" x14ac:dyDescent="0.25">
      <c r="A119" t="s">
        <v>64</v>
      </c>
      <c r="B119" t="s">
        <v>12</v>
      </c>
      <c r="C119" t="str">
        <f t="shared" si="2"/>
        <v>FOO-003</v>
      </c>
      <c r="D119" t="str">
        <f t="shared" si="3"/>
        <v>Expense</v>
      </c>
    </row>
    <row r="120" spans="1:4" x14ac:dyDescent="0.25">
      <c r="A120" t="s">
        <v>54</v>
      </c>
      <c r="B120" t="s">
        <v>53</v>
      </c>
      <c r="C120" t="str">
        <f t="shared" si="2"/>
        <v>MED-007</v>
      </c>
      <c r="D120" t="str">
        <f t="shared" si="3"/>
        <v>Expense</v>
      </c>
    </row>
    <row r="121" spans="1:4" x14ac:dyDescent="0.25">
      <c r="A121" t="s">
        <v>69</v>
      </c>
      <c r="B121" t="s">
        <v>39</v>
      </c>
      <c r="C121" t="str">
        <f t="shared" si="2"/>
        <v>UTI-005</v>
      </c>
      <c r="D121" t="str">
        <f t="shared" si="3"/>
        <v>Expense</v>
      </c>
    </row>
    <row r="122" spans="1:4" x14ac:dyDescent="0.25">
      <c r="A122" t="s">
        <v>67</v>
      </c>
      <c r="B122" t="s">
        <v>41</v>
      </c>
      <c r="C122" t="str">
        <f t="shared" si="2"/>
        <v>PER-008</v>
      </c>
      <c r="D122" t="str">
        <f t="shared" si="3"/>
        <v>Expense</v>
      </c>
    </row>
    <row r="123" spans="1:4" x14ac:dyDescent="0.25">
      <c r="A123" t="s">
        <v>27</v>
      </c>
      <c r="B123" t="s">
        <v>27</v>
      </c>
      <c r="C123" t="str">
        <f t="shared" si="2"/>
        <v>ENT-006</v>
      </c>
      <c r="D123" t="str">
        <f t="shared" si="3"/>
        <v>Expense</v>
      </c>
    </row>
    <row r="124" spans="1:4" x14ac:dyDescent="0.25">
      <c r="A124" t="s">
        <v>64</v>
      </c>
      <c r="B124" t="s">
        <v>12</v>
      </c>
      <c r="C124" t="str">
        <f t="shared" si="2"/>
        <v>FOO-003</v>
      </c>
      <c r="D124" t="str">
        <f t="shared" si="3"/>
        <v>Expense</v>
      </c>
    </row>
    <row r="125" spans="1:4" x14ac:dyDescent="0.25">
      <c r="A125" t="s">
        <v>64</v>
      </c>
      <c r="B125" t="s">
        <v>12</v>
      </c>
      <c r="C125" t="str">
        <f t="shared" si="2"/>
        <v>FOO-003</v>
      </c>
      <c r="D125" t="str">
        <f t="shared" si="3"/>
        <v>Expense</v>
      </c>
    </row>
    <row r="126" spans="1:4" x14ac:dyDescent="0.25">
      <c r="A126" t="s">
        <v>64</v>
      </c>
      <c r="B126" t="s">
        <v>12</v>
      </c>
      <c r="C126" t="str">
        <f t="shared" si="2"/>
        <v>FOO-003</v>
      </c>
      <c r="D126" t="str">
        <f t="shared" si="3"/>
        <v>Expense</v>
      </c>
    </row>
    <row r="127" spans="1:4" x14ac:dyDescent="0.25">
      <c r="A127" t="s">
        <v>64</v>
      </c>
      <c r="B127" t="s">
        <v>22</v>
      </c>
      <c r="C127" t="str">
        <f t="shared" si="2"/>
        <v>FOO-003</v>
      </c>
      <c r="D127" t="str">
        <f t="shared" si="3"/>
        <v>Expense</v>
      </c>
    </row>
    <row r="128" spans="1:4" x14ac:dyDescent="0.25">
      <c r="A128" t="s">
        <v>64</v>
      </c>
      <c r="B128" t="s">
        <v>32</v>
      </c>
      <c r="C128" t="str">
        <f t="shared" si="2"/>
        <v>FOO-003</v>
      </c>
      <c r="D128" t="str">
        <f t="shared" si="3"/>
        <v>Expense</v>
      </c>
    </row>
    <row r="129" spans="1:4" x14ac:dyDescent="0.25">
      <c r="A129" t="s">
        <v>64</v>
      </c>
      <c r="B129" t="s">
        <v>32</v>
      </c>
      <c r="C129" t="str">
        <f t="shared" si="2"/>
        <v>FOO-003</v>
      </c>
      <c r="D129" t="str">
        <f t="shared" si="3"/>
        <v>Expense</v>
      </c>
    </row>
    <row r="130" spans="1:4" x14ac:dyDescent="0.25">
      <c r="A130" t="s">
        <v>67</v>
      </c>
      <c r="B130" t="s">
        <v>46</v>
      </c>
      <c r="C130" t="str">
        <f t="shared" si="2"/>
        <v>PER-008</v>
      </c>
      <c r="D130" t="str">
        <f t="shared" si="3"/>
        <v>Expense</v>
      </c>
    </row>
    <row r="131" spans="1:4" x14ac:dyDescent="0.25">
      <c r="A131" t="s">
        <v>68</v>
      </c>
      <c r="B131" t="s">
        <v>48</v>
      </c>
      <c r="C131" t="str">
        <f t="shared" ref="C131:C194" si="4">IF(A131="Salary","SAL-001",
IF(A131="Housing","HOU-002",
IF(A131="Food","FOO-003",
IF(A131="Transportation","TRA-004",
IF(A131="Utilities","UTI-005",
IF(A131="Entertainment","ENT-006",
IF(A131="Medical","MED-007",
IF(A131="Personal","PER-008",
IF(A131="Loan","LOA-009","PVE-010")))))))))</f>
        <v>TRA-004</v>
      </c>
      <c r="D131" t="str">
        <f t="shared" ref="D131:D194" si="5">IF(OR(A131="Salary",A131="Passive"),"Income","Expense")</f>
        <v>Expense</v>
      </c>
    </row>
    <row r="132" spans="1:4" x14ac:dyDescent="0.25">
      <c r="A132" t="s">
        <v>64</v>
      </c>
      <c r="B132" t="s">
        <v>12</v>
      </c>
      <c r="C132" t="str">
        <f t="shared" si="4"/>
        <v>FOO-003</v>
      </c>
      <c r="D132" t="str">
        <f t="shared" si="5"/>
        <v>Expense</v>
      </c>
    </row>
    <row r="133" spans="1:4" x14ac:dyDescent="0.25">
      <c r="A133" t="s">
        <v>64</v>
      </c>
      <c r="B133" t="s">
        <v>12</v>
      </c>
      <c r="C133" t="str">
        <f t="shared" si="4"/>
        <v>FOO-003</v>
      </c>
      <c r="D133" t="str">
        <f t="shared" si="5"/>
        <v>Expense</v>
      </c>
    </row>
    <row r="134" spans="1:4" x14ac:dyDescent="0.25">
      <c r="A134" t="s">
        <v>64</v>
      </c>
      <c r="B134" t="s">
        <v>12</v>
      </c>
      <c r="C134" t="str">
        <f t="shared" si="4"/>
        <v>FOO-003</v>
      </c>
      <c r="D134" t="str">
        <f t="shared" si="5"/>
        <v>Expense</v>
      </c>
    </row>
    <row r="135" spans="1:4" x14ac:dyDescent="0.25">
      <c r="A135" t="s">
        <v>64</v>
      </c>
      <c r="B135" t="s">
        <v>12</v>
      </c>
      <c r="C135" t="str">
        <f t="shared" si="4"/>
        <v>FOO-003</v>
      </c>
      <c r="D135" t="str">
        <f t="shared" si="5"/>
        <v>Expense</v>
      </c>
    </row>
    <row r="136" spans="1:4" x14ac:dyDescent="0.25">
      <c r="A136" t="s">
        <v>64</v>
      </c>
      <c r="B136" t="s">
        <v>12</v>
      </c>
      <c r="C136" t="str">
        <f t="shared" si="4"/>
        <v>FOO-003</v>
      </c>
      <c r="D136" t="str">
        <f t="shared" si="5"/>
        <v>Expense</v>
      </c>
    </row>
    <row r="137" spans="1:4" x14ac:dyDescent="0.25">
      <c r="A137" t="s">
        <v>64</v>
      </c>
      <c r="B137" t="s">
        <v>22</v>
      </c>
      <c r="C137" t="str">
        <f t="shared" si="4"/>
        <v>FOO-003</v>
      </c>
      <c r="D137" t="str">
        <f t="shared" si="5"/>
        <v>Expense</v>
      </c>
    </row>
    <row r="138" spans="1:4" x14ac:dyDescent="0.25">
      <c r="A138" t="s">
        <v>67</v>
      </c>
      <c r="B138" t="s">
        <v>30</v>
      </c>
      <c r="C138" t="str">
        <f t="shared" si="4"/>
        <v>PER-008</v>
      </c>
      <c r="D138" t="str">
        <f t="shared" si="5"/>
        <v>Expense</v>
      </c>
    </row>
    <row r="139" spans="1:4" x14ac:dyDescent="0.25">
      <c r="A139" t="s">
        <v>67</v>
      </c>
      <c r="B139" t="s">
        <v>30</v>
      </c>
      <c r="C139" t="str">
        <f t="shared" si="4"/>
        <v>PER-008</v>
      </c>
      <c r="D139" t="str">
        <f t="shared" si="5"/>
        <v>Expense</v>
      </c>
    </row>
    <row r="140" spans="1:4" x14ac:dyDescent="0.25">
      <c r="A140" t="s">
        <v>67</v>
      </c>
      <c r="B140" t="s">
        <v>30</v>
      </c>
      <c r="C140" t="str">
        <f t="shared" si="4"/>
        <v>PER-008</v>
      </c>
      <c r="D140" t="str">
        <f t="shared" si="5"/>
        <v>Expense</v>
      </c>
    </row>
    <row r="141" spans="1:4" x14ac:dyDescent="0.25">
      <c r="A141" t="s">
        <v>68</v>
      </c>
      <c r="B141" t="s">
        <v>34</v>
      </c>
      <c r="C141" t="str">
        <f t="shared" si="4"/>
        <v>TRA-004</v>
      </c>
      <c r="D141" t="str">
        <f t="shared" si="5"/>
        <v>Expense</v>
      </c>
    </row>
    <row r="142" spans="1:4" x14ac:dyDescent="0.25">
      <c r="A142" t="s">
        <v>64</v>
      </c>
      <c r="B142" t="s">
        <v>32</v>
      </c>
      <c r="C142" t="str">
        <f t="shared" si="4"/>
        <v>FOO-003</v>
      </c>
      <c r="D142" t="str">
        <f t="shared" si="5"/>
        <v>Expense</v>
      </c>
    </row>
    <row r="143" spans="1:4" x14ac:dyDescent="0.25">
      <c r="A143" t="s">
        <v>64</v>
      </c>
      <c r="B143" t="s">
        <v>12</v>
      </c>
      <c r="C143" t="str">
        <f t="shared" si="4"/>
        <v>FOO-003</v>
      </c>
      <c r="D143" t="str">
        <f t="shared" si="5"/>
        <v>Expense</v>
      </c>
    </row>
    <row r="144" spans="1:4" x14ac:dyDescent="0.25">
      <c r="A144" t="s">
        <v>64</v>
      </c>
      <c r="B144" t="s">
        <v>12</v>
      </c>
      <c r="C144" t="str">
        <f t="shared" si="4"/>
        <v>FOO-003</v>
      </c>
      <c r="D144" t="str">
        <f t="shared" si="5"/>
        <v>Expense</v>
      </c>
    </row>
    <row r="145" spans="1:4" x14ac:dyDescent="0.25">
      <c r="A145" t="s">
        <v>9</v>
      </c>
      <c r="B145" t="s">
        <v>8</v>
      </c>
      <c r="C145" t="str">
        <f t="shared" si="4"/>
        <v>SAL-001</v>
      </c>
      <c r="D145" t="str">
        <f t="shared" si="5"/>
        <v>Income</v>
      </c>
    </row>
    <row r="146" spans="1:4" x14ac:dyDescent="0.25">
      <c r="A146" t="s">
        <v>64</v>
      </c>
      <c r="B146" t="s">
        <v>12</v>
      </c>
      <c r="C146" t="str">
        <f t="shared" si="4"/>
        <v>FOO-003</v>
      </c>
      <c r="D146" t="str">
        <f t="shared" si="5"/>
        <v>Expense</v>
      </c>
    </row>
    <row r="147" spans="1:4" x14ac:dyDescent="0.25">
      <c r="A147" t="s">
        <v>65</v>
      </c>
      <c r="B147" t="s">
        <v>16</v>
      </c>
      <c r="C147" t="str">
        <f t="shared" si="4"/>
        <v>HOU-002</v>
      </c>
      <c r="D147" t="str">
        <f t="shared" si="5"/>
        <v>Expense</v>
      </c>
    </row>
    <row r="148" spans="1:4" x14ac:dyDescent="0.25">
      <c r="A148" t="s">
        <v>66</v>
      </c>
      <c r="B148" t="s">
        <v>19</v>
      </c>
      <c r="C148" t="str">
        <f t="shared" si="4"/>
        <v>LOA-009</v>
      </c>
      <c r="D148" t="str">
        <f t="shared" si="5"/>
        <v>Expense</v>
      </c>
    </row>
    <row r="149" spans="1:4" x14ac:dyDescent="0.25">
      <c r="A149" t="s">
        <v>64</v>
      </c>
      <c r="B149" t="s">
        <v>12</v>
      </c>
      <c r="C149" t="str">
        <f t="shared" si="4"/>
        <v>FOO-003</v>
      </c>
      <c r="D149" t="str">
        <f t="shared" si="5"/>
        <v>Expense</v>
      </c>
    </row>
    <row r="150" spans="1:4" x14ac:dyDescent="0.25">
      <c r="A150" t="s">
        <v>64</v>
      </c>
      <c r="B150" t="s">
        <v>12</v>
      </c>
      <c r="C150" t="str">
        <f t="shared" si="4"/>
        <v>FOO-003</v>
      </c>
      <c r="D150" t="str">
        <f t="shared" si="5"/>
        <v>Expense</v>
      </c>
    </row>
    <row r="151" spans="1:4" x14ac:dyDescent="0.25">
      <c r="A151" t="s">
        <v>64</v>
      </c>
      <c r="B151" t="s">
        <v>12</v>
      </c>
      <c r="C151" t="str">
        <f t="shared" si="4"/>
        <v>FOO-003</v>
      </c>
      <c r="D151" t="str">
        <f t="shared" si="5"/>
        <v>Expense</v>
      </c>
    </row>
    <row r="152" spans="1:4" x14ac:dyDescent="0.25">
      <c r="A152" t="s">
        <v>64</v>
      </c>
      <c r="B152" t="s">
        <v>12</v>
      </c>
      <c r="C152" t="str">
        <f t="shared" si="4"/>
        <v>FOO-003</v>
      </c>
      <c r="D152" t="str">
        <f t="shared" si="5"/>
        <v>Expense</v>
      </c>
    </row>
    <row r="153" spans="1:4" x14ac:dyDescent="0.25">
      <c r="A153" t="s">
        <v>64</v>
      </c>
      <c r="B153" t="s">
        <v>22</v>
      </c>
      <c r="C153" t="str">
        <f t="shared" si="4"/>
        <v>FOO-003</v>
      </c>
      <c r="D153" t="str">
        <f t="shared" si="5"/>
        <v>Expense</v>
      </c>
    </row>
    <row r="154" spans="1:4" x14ac:dyDescent="0.25">
      <c r="A154" t="s">
        <v>64</v>
      </c>
      <c r="B154" t="s">
        <v>24</v>
      </c>
      <c r="C154" t="str">
        <f t="shared" si="4"/>
        <v>FOO-003</v>
      </c>
      <c r="D154" t="str">
        <f t="shared" si="5"/>
        <v>Expense</v>
      </c>
    </row>
    <row r="155" spans="1:4" x14ac:dyDescent="0.25">
      <c r="A155" t="s">
        <v>64</v>
      </c>
      <c r="B155" t="s">
        <v>12</v>
      </c>
      <c r="C155" t="str">
        <f t="shared" si="4"/>
        <v>FOO-003</v>
      </c>
      <c r="D155" t="str">
        <f t="shared" si="5"/>
        <v>Expense</v>
      </c>
    </row>
    <row r="156" spans="1:4" x14ac:dyDescent="0.25">
      <c r="A156" t="s">
        <v>64</v>
      </c>
      <c r="B156" t="s">
        <v>12</v>
      </c>
      <c r="C156" t="str">
        <f t="shared" si="4"/>
        <v>FOO-003</v>
      </c>
      <c r="D156" t="str">
        <f t="shared" si="5"/>
        <v>Expense</v>
      </c>
    </row>
    <row r="157" spans="1:4" x14ac:dyDescent="0.25">
      <c r="A157" t="s">
        <v>68</v>
      </c>
      <c r="B157" t="s">
        <v>48</v>
      </c>
      <c r="C157" t="str">
        <f t="shared" si="4"/>
        <v>TRA-004</v>
      </c>
      <c r="D157" t="str">
        <f t="shared" si="5"/>
        <v>Expense</v>
      </c>
    </row>
    <row r="158" spans="1:4" x14ac:dyDescent="0.25">
      <c r="A158" t="s">
        <v>64</v>
      </c>
      <c r="B158" t="s">
        <v>12</v>
      </c>
      <c r="C158" t="str">
        <f t="shared" si="4"/>
        <v>FOO-003</v>
      </c>
      <c r="D158" t="str">
        <f t="shared" si="5"/>
        <v>Expense</v>
      </c>
    </row>
    <row r="159" spans="1:4" x14ac:dyDescent="0.25">
      <c r="A159" t="s">
        <v>64</v>
      </c>
      <c r="B159" t="s">
        <v>12</v>
      </c>
      <c r="C159" t="str">
        <f t="shared" si="4"/>
        <v>FOO-003</v>
      </c>
      <c r="D159" t="str">
        <f t="shared" si="5"/>
        <v>Expense</v>
      </c>
    </row>
    <row r="160" spans="1:4" x14ac:dyDescent="0.25">
      <c r="A160" t="s">
        <v>64</v>
      </c>
      <c r="B160" t="s">
        <v>22</v>
      </c>
      <c r="C160" t="str">
        <f t="shared" si="4"/>
        <v>FOO-003</v>
      </c>
      <c r="D160" t="str">
        <f t="shared" si="5"/>
        <v>Expense</v>
      </c>
    </row>
    <row r="161" spans="1:4" x14ac:dyDescent="0.25">
      <c r="A161" t="s">
        <v>64</v>
      </c>
      <c r="B161" t="s">
        <v>12</v>
      </c>
      <c r="C161" t="str">
        <f t="shared" si="4"/>
        <v>FOO-003</v>
      </c>
      <c r="D161" t="str">
        <f t="shared" si="5"/>
        <v>Expense</v>
      </c>
    </row>
    <row r="162" spans="1:4" x14ac:dyDescent="0.25">
      <c r="A162" t="s">
        <v>64</v>
      </c>
      <c r="B162" t="s">
        <v>12</v>
      </c>
      <c r="C162" t="str">
        <f t="shared" si="4"/>
        <v>FOO-003</v>
      </c>
      <c r="D162" t="str">
        <f t="shared" si="5"/>
        <v>Expense</v>
      </c>
    </row>
    <row r="163" spans="1:4" x14ac:dyDescent="0.25">
      <c r="A163" t="s">
        <v>27</v>
      </c>
      <c r="B163" t="s">
        <v>27</v>
      </c>
      <c r="C163" t="str">
        <f t="shared" si="4"/>
        <v>ENT-006</v>
      </c>
      <c r="D163" t="str">
        <f t="shared" si="5"/>
        <v>Expense</v>
      </c>
    </row>
    <row r="164" spans="1:4" x14ac:dyDescent="0.25">
      <c r="A164" t="s">
        <v>67</v>
      </c>
      <c r="B164" t="s">
        <v>30</v>
      </c>
      <c r="C164" t="str">
        <f t="shared" si="4"/>
        <v>PER-008</v>
      </c>
      <c r="D164" t="str">
        <f t="shared" si="5"/>
        <v>Expense</v>
      </c>
    </row>
    <row r="165" spans="1:4" x14ac:dyDescent="0.25">
      <c r="A165" t="s">
        <v>64</v>
      </c>
      <c r="B165" t="s">
        <v>32</v>
      </c>
      <c r="C165" t="str">
        <f t="shared" si="4"/>
        <v>FOO-003</v>
      </c>
      <c r="D165" t="str">
        <f t="shared" si="5"/>
        <v>Expense</v>
      </c>
    </row>
    <row r="166" spans="1:4" x14ac:dyDescent="0.25">
      <c r="A166" t="s">
        <v>68</v>
      </c>
      <c r="B166" t="s">
        <v>34</v>
      </c>
      <c r="C166" t="str">
        <f t="shared" si="4"/>
        <v>TRA-004</v>
      </c>
      <c r="D166" t="str">
        <f t="shared" si="5"/>
        <v>Expense</v>
      </c>
    </row>
    <row r="167" spans="1:4" x14ac:dyDescent="0.25">
      <c r="A167" t="s">
        <v>37</v>
      </c>
      <c r="B167" t="s">
        <v>36</v>
      </c>
      <c r="C167" t="str">
        <f t="shared" si="4"/>
        <v>PVE-010</v>
      </c>
      <c r="D167" t="str">
        <f t="shared" si="5"/>
        <v>Income</v>
      </c>
    </row>
    <row r="168" spans="1:4" x14ac:dyDescent="0.25">
      <c r="A168" t="s">
        <v>64</v>
      </c>
      <c r="B168" t="s">
        <v>12</v>
      </c>
      <c r="C168" t="str">
        <f t="shared" si="4"/>
        <v>FOO-003</v>
      </c>
      <c r="D168" t="str">
        <f t="shared" si="5"/>
        <v>Expense</v>
      </c>
    </row>
    <row r="169" spans="1:4" x14ac:dyDescent="0.25">
      <c r="A169" t="s">
        <v>64</v>
      </c>
      <c r="B169" t="s">
        <v>12</v>
      </c>
      <c r="C169" t="str">
        <f t="shared" si="4"/>
        <v>FOO-003</v>
      </c>
      <c r="D169" t="str">
        <f t="shared" si="5"/>
        <v>Expense</v>
      </c>
    </row>
    <row r="170" spans="1:4" x14ac:dyDescent="0.25">
      <c r="A170" t="s">
        <v>69</v>
      </c>
      <c r="B170" t="s">
        <v>39</v>
      </c>
      <c r="C170" t="str">
        <f t="shared" si="4"/>
        <v>UTI-005</v>
      </c>
      <c r="D170" t="str">
        <f t="shared" si="5"/>
        <v>Expense</v>
      </c>
    </row>
    <row r="171" spans="1:4" x14ac:dyDescent="0.25">
      <c r="A171" t="s">
        <v>67</v>
      </c>
      <c r="B171" t="s">
        <v>41</v>
      </c>
      <c r="C171" t="str">
        <f t="shared" si="4"/>
        <v>PER-008</v>
      </c>
      <c r="D171" t="str">
        <f t="shared" si="5"/>
        <v>Expense</v>
      </c>
    </row>
    <row r="172" spans="1:4" x14ac:dyDescent="0.25">
      <c r="A172" t="s">
        <v>27</v>
      </c>
      <c r="B172" t="s">
        <v>27</v>
      </c>
      <c r="C172" t="str">
        <f t="shared" si="4"/>
        <v>ENT-006</v>
      </c>
      <c r="D172" t="str">
        <f t="shared" si="5"/>
        <v>Expense</v>
      </c>
    </row>
    <row r="173" spans="1:4" x14ac:dyDescent="0.25">
      <c r="A173" t="s">
        <v>64</v>
      </c>
      <c r="B173" t="s">
        <v>12</v>
      </c>
      <c r="C173" t="str">
        <f t="shared" si="4"/>
        <v>FOO-003</v>
      </c>
      <c r="D173" t="str">
        <f t="shared" si="5"/>
        <v>Expense</v>
      </c>
    </row>
    <row r="174" spans="1:4" x14ac:dyDescent="0.25">
      <c r="A174" t="s">
        <v>64</v>
      </c>
      <c r="B174" t="s">
        <v>12</v>
      </c>
      <c r="C174" t="str">
        <f t="shared" si="4"/>
        <v>FOO-003</v>
      </c>
      <c r="D174" t="str">
        <f t="shared" si="5"/>
        <v>Expense</v>
      </c>
    </row>
    <row r="175" spans="1:4" x14ac:dyDescent="0.25">
      <c r="A175" t="s">
        <v>64</v>
      </c>
      <c r="B175" t="s">
        <v>12</v>
      </c>
      <c r="C175" t="str">
        <f t="shared" si="4"/>
        <v>FOO-003</v>
      </c>
      <c r="D175" t="str">
        <f t="shared" si="5"/>
        <v>Expense</v>
      </c>
    </row>
    <row r="176" spans="1:4" x14ac:dyDescent="0.25">
      <c r="A176" t="s">
        <v>64</v>
      </c>
      <c r="B176" t="s">
        <v>22</v>
      </c>
      <c r="C176" t="str">
        <f t="shared" si="4"/>
        <v>FOO-003</v>
      </c>
      <c r="D176" t="str">
        <f t="shared" si="5"/>
        <v>Expense</v>
      </c>
    </row>
    <row r="177" spans="1:4" x14ac:dyDescent="0.25">
      <c r="A177" t="s">
        <v>64</v>
      </c>
      <c r="B177" t="s">
        <v>32</v>
      </c>
      <c r="C177" t="str">
        <f t="shared" si="4"/>
        <v>FOO-003</v>
      </c>
      <c r="D177" t="str">
        <f t="shared" si="5"/>
        <v>Expense</v>
      </c>
    </row>
    <row r="178" spans="1:4" x14ac:dyDescent="0.25">
      <c r="A178" t="s">
        <v>64</v>
      </c>
      <c r="B178" t="s">
        <v>32</v>
      </c>
      <c r="C178" t="str">
        <f t="shared" si="4"/>
        <v>FOO-003</v>
      </c>
      <c r="D178" t="str">
        <f t="shared" si="5"/>
        <v>Expense</v>
      </c>
    </row>
    <row r="179" spans="1:4" x14ac:dyDescent="0.25">
      <c r="A179" t="s">
        <v>67</v>
      </c>
      <c r="B179" t="s">
        <v>46</v>
      </c>
      <c r="C179" t="str">
        <f t="shared" si="4"/>
        <v>PER-008</v>
      </c>
      <c r="D179" t="str">
        <f t="shared" si="5"/>
        <v>Expense</v>
      </c>
    </row>
    <row r="180" spans="1:4" x14ac:dyDescent="0.25">
      <c r="A180" t="s">
        <v>68</v>
      </c>
      <c r="B180" t="s">
        <v>48</v>
      </c>
      <c r="C180" t="str">
        <f t="shared" si="4"/>
        <v>TRA-004</v>
      </c>
      <c r="D180" t="str">
        <f t="shared" si="5"/>
        <v>Expense</v>
      </c>
    </row>
    <row r="181" spans="1:4" x14ac:dyDescent="0.25">
      <c r="A181" t="s">
        <v>64</v>
      </c>
      <c r="B181" t="s">
        <v>12</v>
      </c>
      <c r="C181" t="str">
        <f t="shared" si="4"/>
        <v>FOO-003</v>
      </c>
      <c r="D181" t="str">
        <f t="shared" si="5"/>
        <v>Expense</v>
      </c>
    </row>
    <row r="182" spans="1:4" x14ac:dyDescent="0.25">
      <c r="A182" t="s">
        <v>64</v>
      </c>
      <c r="B182" t="s">
        <v>12</v>
      </c>
      <c r="C182" t="str">
        <f t="shared" si="4"/>
        <v>FOO-003</v>
      </c>
      <c r="D182" t="str">
        <f t="shared" si="5"/>
        <v>Expense</v>
      </c>
    </row>
    <row r="183" spans="1:4" x14ac:dyDescent="0.25">
      <c r="A183" t="s">
        <v>64</v>
      </c>
      <c r="B183" t="s">
        <v>12</v>
      </c>
      <c r="C183" t="str">
        <f t="shared" si="4"/>
        <v>FOO-003</v>
      </c>
      <c r="D183" t="str">
        <f t="shared" si="5"/>
        <v>Expense</v>
      </c>
    </row>
    <row r="184" spans="1:4" x14ac:dyDescent="0.25">
      <c r="A184" t="s">
        <v>64</v>
      </c>
      <c r="B184" t="s">
        <v>12</v>
      </c>
      <c r="C184" t="str">
        <f t="shared" si="4"/>
        <v>FOO-003</v>
      </c>
      <c r="D184" t="str">
        <f t="shared" si="5"/>
        <v>Expense</v>
      </c>
    </row>
    <row r="185" spans="1:4" x14ac:dyDescent="0.25">
      <c r="A185" t="s">
        <v>64</v>
      </c>
      <c r="B185" t="s">
        <v>12</v>
      </c>
      <c r="C185" t="str">
        <f t="shared" si="4"/>
        <v>FOO-003</v>
      </c>
      <c r="D185" t="str">
        <f t="shared" si="5"/>
        <v>Expense</v>
      </c>
    </row>
    <row r="186" spans="1:4" x14ac:dyDescent="0.25">
      <c r="A186" t="s">
        <v>64</v>
      </c>
      <c r="B186" t="s">
        <v>22</v>
      </c>
      <c r="C186" t="str">
        <f t="shared" si="4"/>
        <v>FOO-003</v>
      </c>
      <c r="D186" t="str">
        <f t="shared" si="5"/>
        <v>Expense</v>
      </c>
    </row>
    <row r="187" spans="1:4" x14ac:dyDescent="0.25">
      <c r="A187" t="s">
        <v>67</v>
      </c>
      <c r="B187" t="s">
        <v>30</v>
      </c>
      <c r="C187" t="str">
        <f t="shared" si="4"/>
        <v>PER-008</v>
      </c>
      <c r="D187" t="str">
        <f t="shared" si="5"/>
        <v>Expense</v>
      </c>
    </row>
    <row r="188" spans="1:4" x14ac:dyDescent="0.25">
      <c r="A188" t="s">
        <v>27</v>
      </c>
      <c r="B188" t="s">
        <v>27</v>
      </c>
      <c r="C188" t="str">
        <f t="shared" si="4"/>
        <v>ENT-006</v>
      </c>
      <c r="D188" t="str">
        <f t="shared" si="5"/>
        <v>Expense</v>
      </c>
    </row>
    <row r="189" spans="1:4" x14ac:dyDescent="0.25">
      <c r="A189" t="s">
        <v>67</v>
      </c>
      <c r="B189" t="s">
        <v>30</v>
      </c>
      <c r="C189" t="str">
        <f t="shared" si="4"/>
        <v>PER-008</v>
      </c>
      <c r="D189" t="str">
        <f t="shared" si="5"/>
        <v>Expense</v>
      </c>
    </row>
    <row r="190" spans="1:4" x14ac:dyDescent="0.25">
      <c r="A190" t="s">
        <v>68</v>
      </c>
      <c r="B190" t="s">
        <v>34</v>
      </c>
      <c r="C190" t="str">
        <f t="shared" si="4"/>
        <v>TRA-004</v>
      </c>
      <c r="D190" t="str">
        <f t="shared" si="5"/>
        <v>Expense</v>
      </c>
    </row>
    <row r="191" spans="1:4" x14ac:dyDescent="0.25">
      <c r="A191" t="s">
        <v>64</v>
      </c>
      <c r="B191" t="s">
        <v>32</v>
      </c>
      <c r="C191" t="str">
        <f t="shared" si="4"/>
        <v>FOO-003</v>
      </c>
      <c r="D191" t="str">
        <f t="shared" si="5"/>
        <v>Expense</v>
      </c>
    </row>
    <row r="192" spans="1:4" x14ac:dyDescent="0.25">
      <c r="A192" t="s">
        <v>64</v>
      </c>
      <c r="B192" t="s">
        <v>12</v>
      </c>
      <c r="C192" t="str">
        <f t="shared" si="4"/>
        <v>FOO-003</v>
      </c>
      <c r="D192" t="str">
        <f t="shared" si="5"/>
        <v>Expense</v>
      </c>
    </row>
    <row r="193" spans="1:4" x14ac:dyDescent="0.25">
      <c r="A193" t="s">
        <v>64</v>
      </c>
      <c r="B193" t="s">
        <v>12</v>
      </c>
      <c r="C193" t="str">
        <f t="shared" si="4"/>
        <v>FOO-003</v>
      </c>
      <c r="D193" t="str">
        <f t="shared" si="5"/>
        <v>Expense</v>
      </c>
    </row>
    <row r="194" spans="1:4" x14ac:dyDescent="0.25">
      <c r="A194" t="s">
        <v>64</v>
      </c>
      <c r="B194" t="s">
        <v>12</v>
      </c>
      <c r="C194" t="str">
        <f t="shared" si="4"/>
        <v>FOO-003</v>
      </c>
      <c r="D194" t="str">
        <f t="shared" si="5"/>
        <v>Expense</v>
      </c>
    </row>
    <row r="195" spans="1:4" x14ac:dyDescent="0.25">
      <c r="A195" t="s">
        <v>9</v>
      </c>
      <c r="B195" t="s">
        <v>8</v>
      </c>
      <c r="C195" t="str">
        <f t="shared" ref="C195:C258" si="6">IF(A195="Salary","SAL-001",
IF(A195="Housing","HOU-002",
IF(A195="Food","FOO-003",
IF(A195="Transportation","TRA-004",
IF(A195="Utilities","UTI-005",
IF(A195="Entertainment","ENT-006",
IF(A195="Medical","MED-007",
IF(A195="Personal","PER-008",
IF(A195="Loan","LOA-009","PVE-010")))))))))</f>
        <v>SAL-001</v>
      </c>
      <c r="D195" t="str">
        <f t="shared" ref="D195:D258" si="7">IF(OR(A195="Salary",A195="Passive"),"Income","Expense")</f>
        <v>Income</v>
      </c>
    </row>
    <row r="196" spans="1:4" x14ac:dyDescent="0.25">
      <c r="A196" t="s">
        <v>65</v>
      </c>
      <c r="B196" t="s">
        <v>16</v>
      </c>
      <c r="C196" t="str">
        <f t="shared" si="6"/>
        <v>HOU-002</v>
      </c>
      <c r="D196" t="str">
        <f t="shared" si="7"/>
        <v>Expense</v>
      </c>
    </row>
    <row r="197" spans="1:4" x14ac:dyDescent="0.25">
      <c r="A197" t="s">
        <v>66</v>
      </c>
      <c r="B197" t="s">
        <v>19</v>
      </c>
      <c r="C197" t="str">
        <f t="shared" si="6"/>
        <v>LOA-009</v>
      </c>
      <c r="D197" t="str">
        <f t="shared" si="7"/>
        <v>Expense</v>
      </c>
    </row>
    <row r="198" spans="1:4" x14ac:dyDescent="0.25">
      <c r="A198" t="s">
        <v>64</v>
      </c>
      <c r="B198" t="s">
        <v>12</v>
      </c>
      <c r="C198" t="str">
        <f t="shared" si="6"/>
        <v>FOO-003</v>
      </c>
      <c r="D198" t="str">
        <f t="shared" si="7"/>
        <v>Expense</v>
      </c>
    </row>
    <row r="199" spans="1:4" x14ac:dyDescent="0.25">
      <c r="A199" t="s">
        <v>64</v>
      </c>
      <c r="B199" t="s">
        <v>12</v>
      </c>
      <c r="C199" t="str">
        <f t="shared" si="6"/>
        <v>FOO-003</v>
      </c>
      <c r="D199" t="str">
        <f t="shared" si="7"/>
        <v>Expense</v>
      </c>
    </row>
    <row r="200" spans="1:4" x14ac:dyDescent="0.25">
      <c r="A200" t="s">
        <v>64</v>
      </c>
      <c r="B200" t="s">
        <v>12</v>
      </c>
      <c r="C200" t="str">
        <f t="shared" si="6"/>
        <v>FOO-003</v>
      </c>
      <c r="D200" t="str">
        <f t="shared" si="7"/>
        <v>Expense</v>
      </c>
    </row>
    <row r="201" spans="1:4" x14ac:dyDescent="0.25">
      <c r="A201" t="s">
        <v>64</v>
      </c>
      <c r="B201" t="s">
        <v>12</v>
      </c>
      <c r="C201" t="str">
        <f t="shared" si="6"/>
        <v>FOO-003</v>
      </c>
      <c r="D201" t="str">
        <f t="shared" si="7"/>
        <v>Expense</v>
      </c>
    </row>
    <row r="202" spans="1:4" x14ac:dyDescent="0.25">
      <c r="A202" t="s">
        <v>64</v>
      </c>
      <c r="B202" t="s">
        <v>22</v>
      </c>
      <c r="C202" t="str">
        <f t="shared" si="6"/>
        <v>FOO-003</v>
      </c>
      <c r="D202" t="str">
        <f t="shared" si="7"/>
        <v>Expense</v>
      </c>
    </row>
    <row r="203" spans="1:4" x14ac:dyDescent="0.25">
      <c r="A203" t="s">
        <v>64</v>
      </c>
      <c r="B203" t="s">
        <v>24</v>
      </c>
      <c r="C203" t="str">
        <f t="shared" si="6"/>
        <v>FOO-003</v>
      </c>
      <c r="D203" t="str">
        <f t="shared" si="7"/>
        <v>Expense</v>
      </c>
    </row>
    <row r="204" spans="1:4" x14ac:dyDescent="0.25">
      <c r="A204" t="s">
        <v>64</v>
      </c>
      <c r="B204" t="s">
        <v>12</v>
      </c>
      <c r="C204" t="str">
        <f t="shared" si="6"/>
        <v>FOO-003</v>
      </c>
      <c r="D204" t="str">
        <f t="shared" si="7"/>
        <v>Expense</v>
      </c>
    </row>
    <row r="205" spans="1:4" x14ac:dyDescent="0.25">
      <c r="A205" t="s">
        <v>64</v>
      </c>
      <c r="B205" t="s">
        <v>12</v>
      </c>
      <c r="C205" t="str">
        <f t="shared" si="6"/>
        <v>FOO-003</v>
      </c>
      <c r="D205" t="str">
        <f t="shared" si="7"/>
        <v>Expense</v>
      </c>
    </row>
    <row r="206" spans="1:4" x14ac:dyDescent="0.25">
      <c r="A206" t="s">
        <v>68</v>
      </c>
      <c r="B206" t="s">
        <v>48</v>
      </c>
      <c r="C206" t="str">
        <f t="shared" si="6"/>
        <v>TRA-004</v>
      </c>
      <c r="D206" t="str">
        <f t="shared" si="7"/>
        <v>Expense</v>
      </c>
    </row>
    <row r="207" spans="1:4" x14ac:dyDescent="0.25">
      <c r="A207" t="s">
        <v>64</v>
      </c>
      <c r="B207" t="s">
        <v>12</v>
      </c>
      <c r="C207" t="str">
        <f t="shared" si="6"/>
        <v>FOO-003</v>
      </c>
      <c r="D207" t="str">
        <f t="shared" si="7"/>
        <v>Expense</v>
      </c>
    </row>
    <row r="208" spans="1:4" x14ac:dyDescent="0.25">
      <c r="A208" t="s">
        <v>64</v>
      </c>
      <c r="B208" t="s">
        <v>12</v>
      </c>
      <c r="C208" t="str">
        <f t="shared" si="6"/>
        <v>FOO-003</v>
      </c>
      <c r="D208" t="str">
        <f t="shared" si="7"/>
        <v>Expense</v>
      </c>
    </row>
    <row r="209" spans="1:4" x14ac:dyDescent="0.25">
      <c r="A209" t="s">
        <v>64</v>
      </c>
      <c r="B209" t="s">
        <v>22</v>
      </c>
      <c r="C209" t="str">
        <f t="shared" si="6"/>
        <v>FOO-003</v>
      </c>
      <c r="D209" t="str">
        <f t="shared" si="7"/>
        <v>Expense</v>
      </c>
    </row>
    <row r="210" spans="1:4" x14ac:dyDescent="0.25">
      <c r="A210" t="s">
        <v>64</v>
      </c>
      <c r="B210" t="s">
        <v>12</v>
      </c>
      <c r="C210" t="str">
        <f t="shared" si="6"/>
        <v>FOO-003</v>
      </c>
      <c r="D210" t="str">
        <f t="shared" si="7"/>
        <v>Expense</v>
      </c>
    </row>
    <row r="211" spans="1:4" x14ac:dyDescent="0.25">
      <c r="A211" t="s">
        <v>64</v>
      </c>
      <c r="B211" t="s">
        <v>12</v>
      </c>
      <c r="C211" t="str">
        <f t="shared" si="6"/>
        <v>FOO-003</v>
      </c>
      <c r="D211" t="str">
        <f t="shared" si="7"/>
        <v>Expense</v>
      </c>
    </row>
    <row r="212" spans="1:4" x14ac:dyDescent="0.25">
      <c r="A212" t="s">
        <v>27</v>
      </c>
      <c r="B212" t="s">
        <v>27</v>
      </c>
      <c r="C212" t="str">
        <f t="shared" si="6"/>
        <v>ENT-006</v>
      </c>
      <c r="D212" t="str">
        <f t="shared" si="7"/>
        <v>Expense</v>
      </c>
    </row>
    <row r="213" spans="1:4" x14ac:dyDescent="0.25">
      <c r="A213" t="s">
        <v>67</v>
      </c>
      <c r="B213" t="s">
        <v>30</v>
      </c>
      <c r="C213" t="str">
        <f t="shared" si="6"/>
        <v>PER-008</v>
      </c>
      <c r="D213" t="str">
        <f t="shared" si="7"/>
        <v>Expense</v>
      </c>
    </row>
    <row r="214" spans="1:4" x14ac:dyDescent="0.25">
      <c r="A214" t="s">
        <v>64</v>
      </c>
      <c r="B214" t="s">
        <v>32</v>
      </c>
      <c r="C214" t="str">
        <f t="shared" si="6"/>
        <v>FOO-003</v>
      </c>
      <c r="D214" t="str">
        <f t="shared" si="7"/>
        <v>Expense</v>
      </c>
    </row>
    <row r="215" spans="1:4" x14ac:dyDescent="0.25">
      <c r="A215" t="s">
        <v>68</v>
      </c>
      <c r="B215" t="s">
        <v>34</v>
      </c>
      <c r="C215" t="str">
        <f t="shared" si="6"/>
        <v>TRA-004</v>
      </c>
      <c r="D215" t="str">
        <f t="shared" si="7"/>
        <v>Expense</v>
      </c>
    </row>
    <row r="216" spans="1:4" x14ac:dyDescent="0.25">
      <c r="A216" t="s">
        <v>37</v>
      </c>
      <c r="B216" t="s">
        <v>36</v>
      </c>
      <c r="C216" t="str">
        <f t="shared" si="6"/>
        <v>PVE-010</v>
      </c>
      <c r="D216" t="str">
        <f t="shared" si="7"/>
        <v>Income</v>
      </c>
    </row>
    <row r="217" spans="1:4" x14ac:dyDescent="0.25">
      <c r="A217" t="s">
        <v>64</v>
      </c>
      <c r="B217" t="s">
        <v>12</v>
      </c>
      <c r="C217" t="str">
        <f t="shared" si="6"/>
        <v>FOO-003</v>
      </c>
      <c r="D217" t="str">
        <f t="shared" si="7"/>
        <v>Expense</v>
      </c>
    </row>
    <row r="218" spans="1:4" x14ac:dyDescent="0.25">
      <c r="A218" t="s">
        <v>64</v>
      </c>
      <c r="B218" t="s">
        <v>12</v>
      </c>
      <c r="C218" t="str">
        <f t="shared" si="6"/>
        <v>FOO-003</v>
      </c>
      <c r="D218" t="str">
        <f t="shared" si="7"/>
        <v>Expense</v>
      </c>
    </row>
    <row r="219" spans="1:4" x14ac:dyDescent="0.25">
      <c r="A219" t="s">
        <v>54</v>
      </c>
      <c r="B219" t="s">
        <v>53</v>
      </c>
      <c r="C219" t="str">
        <f t="shared" si="6"/>
        <v>MED-007</v>
      </c>
      <c r="D219" t="str">
        <f t="shared" si="7"/>
        <v>Expense</v>
      </c>
    </row>
    <row r="220" spans="1:4" x14ac:dyDescent="0.25">
      <c r="A220" t="s">
        <v>69</v>
      </c>
      <c r="B220" t="s">
        <v>39</v>
      </c>
      <c r="C220" t="str">
        <f t="shared" si="6"/>
        <v>UTI-005</v>
      </c>
      <c r="D220" t="str">
        <f t="shared" si="7"/>
        <v>Expense</v>
      </c>
    </row>
    <row r="221" spans="1:4" x14ac:dyDescent="0.25">
      <c r="A221" t="s">
        <v>67</v>
      </c>
      <c r="B221" t="s">
        <v>41</v>
      </c>
      <c r="C221" t="str">
        <f t="shared" si="6"/>
        <v>PER-008</v>
      </c>
      <c r="D221" t="str">
        <f t="shared" si="7"/>
        <v>Expense</v>
      </c>
    </row>
    <row r="222" spans="1:4" x14ac:dyDescent="0.25">
      <c r="A222" t="s">
        <v>27</v>
      </c>
      <c r="B222" t="s">
        <v>27</v>
      </c>
      <c r="C222" t="str">
        <f t="shared" si="6"/>
        <v>ENT-006</v>
      </c>
      <c r="D222" t="str">
        <f t="shared" si="7"/>
        <v>Expense</v>
      </c>
    </row>
    <row r="223" spans="1:4" x14ac:dyDescent="0.25">
      <c r="A223" t="s">
        <v>64</v>
      </c>
      <c r="B223" t="s">
        <v>12</v>
      </c>
      <c r="C223" t="str">
        <f t="shared" si="6"/>
        <v>FOO-003</v>
      </c>
      <c r="D223" t="str">
        <f t="shared" si="7"/>
        <v>Expense</v>
      </c>
    </row>
    <row r="224" spans="1:4" x14ac:dyDescent="0.25">
      <c r="A224" t="s">
        <v>64</v>
      </c>
      <c r="B224" t="s">
        <v>12</v>
      </c>
      <c r="C224" t="str">
        <f t="shared" si="6"/>
        <v>FOO-003</v>
      </c>
      <c r="D224" t="str">
        <f t="shared" si="7"/>
        <v>Expense</v>
      </c>
    </row>
    <row r="225" spans="1:4" x14ac:dyDescent="0.25">
      <c r="A225" t="s">
        <v>64</v>
      </c>
      <c r="B225" t="s">
        <v>12</v>
      </c>
      <c r="C225" t="str">
        <f t="shared" si="6"/>
        <v>FOO-003</v>
      </c>
      <c r="D225" t="str">
        <f t="shared" si="7"/>
        <v>Expense</v>
      </c>
    </row>
    <row r="226" spans="1:4" x14ac:dyDescent="0.25">
      <c r="A226" t="s">
        <v>64</v>
      </c>
      <c r="B226" t="s">
        <v>22</v>
      </c>
      <c r="C226" t="str">
        <f t="shared" si="6"/>
        <v>FOO-003</v>
      </c>
      <c r="D226" t="str">
        <f t="shared" si="7"/>
        <v>Expense</v>
      </c>
    </row>
    <row r="227" spans="1:4" x14ac:dyDescent="0.25">
      <c r="A227" t="s">
        <v>64</v>
      </c>
      <c r="B227" t="s">
        <v>32</v>
      </c>
      <c r="C227" t="str">
        <f t="shared" si="6"/>
        <v>FOO-003</v>
      </c>
      <c r="D227" t="str">
        <f t="shared" si="7"/>
        <v>Expense</v>
      </c>
    </row>
    <row r="228" spans="1:4" x14ac:dyDescent="0.25">
      <c r="A228" t="s">
        <v>64</v>
      </c>
      <c r="B228" t="s">
        <v>32</v>
      </c>
      <c r="C228" t="str">
        <f t="shared" si="6"/>
        <v>FOO-003</v>
      </c>
      <c r="D228" t="str">
        <f t="shared" si="7"/>
        <v>Expense</v>
      </c>
    </row>
    <row r="229" spans="1:4" x14ac:dyDescent="0.25">
      <c r="A229" t="s">
        <v>67</v>
      </c>
      <c r="B229" t="s">
        <v>46</v>
      </c>
      <c r="C229" t="str">
        <f t="shared" si="6"/>
        <v>PER-008</v>
      </c>
      <c r="D229" t="str">
        <f t="shared" si="7"/>
        <v>Expense</v>
      </c>
    </row>
    <row r="230" spans="1:4" x14ac:dyDescent="0.25">
      <c r="A230" t="s">
        <v>68</v>
      </c>
      <c r="B230" t="s">
        <v>48</v>
      </c>
      <c r="C230" t="str">
        <f t="shared" si="6"/>
        <v>TRA-004</v>
      </c>
      <c r="D230" t="str">
        <f t="shared" si="7"/>
        <v>Expense</v>
      </c>
    </row>
    <row r="231" spans="1:4" x14ac:dyDescent="0.25">
      <c r="A231" t="s">
        <v>64</v>
      </c>
      <c r="B231" t="s">
        <v>12</v>
      </c>
      <c r="C231" t="str">
        <f t="shared" si="6"/>
        <v>FOO-003</v>
      </c>
      <c r="D231" t="str">
        <f t="shared" si="7"/>
        <v>Expense</v>
      </c>
    </row>
    <row r="232" spans="1:4" x14ac:dyDescent="0.25">
      <c r="A232" t="s">
        <v>64</v>
      </c>
      <c r="B232" t="s">
        <v>12</v>
      </c>
      <c r="C232" t="str">
        <f t="shared" si="6"/>
        <v>FOO-003</v>
      </c>
      <c r="D232" t="str">
        <f t="shared" si="7"/>
        <v>Expense</v>
      </c>
    </row>
    <row r="233" spans="1:4" x14ac:dyDescent="0.25">
      <c r="A233" t="s">
        <v>64</v>
      </c>
      <c r="B233" t="s">
        <v>12</v>
      </c>
      <c r="C233" t="str">
        <f t="shared" si="6"/>
        <v>FOO-003</v>
      </c>
      <c r="D233" t="str">
        <f t="shared" si="7"/>
        <v>Expense</v>
      </c>
    </row>
    <row r="234" spans="1:4" x14ac:dyDescent="0.25">
      <c r="A234" t="s">
        <v>64</v>
      </c>
      <c r="B234" t="s">
        <v>12</v>
      </c>
      <c r="C234" t="str">
        <f t="shared" si="6"/>
        <v>FOO-003</v>
      </c>
      <c r="D234" t="str">
        <f t="shared" si="7"/>
        <v>Expense</v>
      </c>
    </row>
    <row r="235" spans="1:4" x14ac:dyDescent="0.25">
      <c r="A235" t="s">
        <v>64</v>
      </c>
      <c r="B235" t="s">
        <v>12</v>
      </c>
      <c r="C235" t="str">
        <f t="shared" si="6"/>
        <v>FOO-003</v>
      </c>
      <c r="D235" t="str">
        <f t="shared" si="7"/>
        <v>Expense</v>
      </c>
    </row>
    <row r="236" spans="1:4" x14ac:dyDescent="0.25">
      <c r="A236" t="s">
        <v>64</v>
      </c>
      <c r="B236" t="s">
        <v>22</v>
      </c>
      <c r="C236" t="str">
        <f t="shared" si="6"/>
        <v>FOO-003</v>
      </c>
      <c r="D236" t="str">
        <f t="shared" si="7"/>
        <v>Expense</v>
      </c>
    </row>
    <row r="237" spans="1:4" x14ac:dyDescent="0.25">
      <c r="A237" t="s">
        <v>67</v>
      </c>
      <c r="B237" t="s">
        <v>30</v>
      </c>
      <c r="C237" t="str">
        <f t="shared" si="6"/>
        <v>PER-008</v>
      </c>
      <c r="D237" t="str">
        <f t="shared" si="7"/>
        <v>Expense</v>
      </c>
    </row>
    <row r="238" spans="1:4" x14ac:dyDescent="0.25">
      <c r="A238" t="s">
        <v>65</v>
      </c>
      <c r="B238" t="s">
        <v>59</v>
      </c>
      <c r="C238" t="str">
        <f t="shared" si="6"/>
        <v>HOU-002</v>
      </c>
      <c r="D238" t="str">
        <f t="shared" si="7"/>
        <v>Expense</v>
      </c>
    </row>
    <row r="239" spans="1:4" x14ac:dyDescent="0.25">
      <c r="A239" t="s">
        <v>67</v>
      </c>
      <c r="B239" t="s">
        <v>30</v>
      </c>
      <c r="C239" t="str">
        <f t="shared" si="6"/>
        <v>PER-008</v>
      </c>
      <c r="D239" t="str">
        <f t="shared" si="7"/>
        <v>Expense</v>
      </c>
    </row>
    <row r="240" spans="1:4" x14ac:dyDescent="0.25">
      <c r="A240" t="s">
        <v>68</v>
      </c>
      <c r="B240" t="s">
        <v>34</v>
      </c>
      <c r="C240" t="str">
        <f t="shared" si="6"/>
        <v>TRA-004</v>
      </c>
      <c r="D240" t="str">
        <f t="shared" si="7"/>
        <v>Expense</v>
      </c>
    </row>
    <row r="241" spans="1:4" x14ac:dyDescent="0.25">
      <c r="A241" t="s">
        <v>64</v>
      </c>
      <c r="B241" t="s">
        <v>32</v>
      </c>
      <c r="C241" t="str">
        <f t="shared" si="6"/>
        <v>FOO-003</v>
      </c>
      <c r="D241" t="str">
        <f t="shared" si="7"/>
        <v>Expense</v>
      </c>
    </row>
    <row r="242" spans="1:4" x14ac:dyDescent="0.25">
      <c r="A242" t="s">
        <v>64</v>
      </c>
      <c r="B242" t="s">
        <v>12</v>
      </c>
      <c r="C242" t="str">
        <f t="shared" si="6"/>
        <v>FOO-003</v>
      </c>
      <c r="D242" t="str">
        <f t="shared" si="7"/>
        <v>Expense</v>
      </c>
    </row>
    <row r="243" spans="1:4" x14ac:dyDescent="0.25">
      <c r="A243" t="s">
        <v>64</v>
      </c>
      <c r="B243" t="s">
        <v>12</v>
      </c>
      <c r="C243" t="str">
        <f t="shared" si="6"/>
        <v>FOO-003</v>
      </c>
      <c r="D243" t="str">
        <f t="shared" si="7"/>
        <v>Expense</v>
      </c>
    </row>
    <row r="244" spans="1:4" x14ac:dyDescent="0.25">
      <c r="A244" t="s">
        <v>9</v>
      </c>
      <c r="B244" t="s">
        <v>8</v>
      </c>
      <c r="C244" t="str">
        <f t="shared" si="6"/>
        <v>SAL-001</v>
      </c>
      <c r="D244" t="str">
        <f t="shared" si="7"/>
        <v>Income</v>
      </c>
    </row>
    <row r="245" spans="1:4" x14ac:dyDescent="0.25">
      <c r="A245" t="s">
        <v>64</v>
      </c>
      <c r="B245" t="s">
        <v>12</v>
      </c>
      <c r="C245" t="str">
        <f t="shared" si="6"/>
        <v>FOO-003</v>
      </c>
      <c r="D245" t="str">
        <f t="shared" si="7"/>
        <v>Expense</v>
      </c>
    </row>
    <row r="246" spans="1:4" x14ac:dyDescent="0.25">
      <c r="A246" t="s">
        <v>65</v>
      </c>
      <c r="B246" t="s">
        <v>16</v>
      </c>
      <c r="C246" t="str">
        <f t="shared" si="6"/>
        <v>HOU-002</v>
      </c>
      <c r="D246" t="str">
        <f t="shared" si="7"/>
        <v>Expense</v>
      </c>
    </row>
    <row r="247" spans="1:4" x14ac:dyDescent="0.25">
      <c r="A247" t="s">
        <v>66</v>
      </c>
      <c r="B247" t="s">
        <v>19</v>
      </c>
      <c r="C247" t="str">
        <f t="shared" si="6"/>
        <v>LOA-009</v>
      </c>
      <c r="D247" t="str">
        <f t="shared" si="7"/>
        <v>Expense</v>
      </c>
    </row>
    <row r="248" spans="1:4" x14ac:dyDescent="0.25">
      <c r="A248" t="s">
        <v>64</v>
      </c>
      <c r="B248" t="s">
        <v>12</v>
      </c>
      <c r="C248" t="str">
        <f t="shared" si="6"/>
        <v>FOO-003</v>
      </c>
      <c r="D248" t="str">
        <f t="shared" si="7"/>
        <v>Expense</v>
      </c>
    </row>
    <row r="249" spans="1:4" x14ac:dyDescent="0.25">
      <c r="A249" t="s">
        <v>64</v>
      </c>
      <c r="B249" t="s">
        <v>12</v>
      </c>
      <c r="C249" t="str">
        <f t="shared" si="6"/>
        <v>FOO-003</v>
      </c>
      <c r="D249" t="str">
        <f t="shared" si="7"/>
        <v>Expense</v>
      </c>
    </row>
    <row r="250" spans="1:4" x14ac:dyDescent="0.25">
      <c r="A250" t="s">
        <v>64</v>
      </c>
      <c r="B250" t="s">
        <v>12</v>
      </c>
      <c r="C250" t="str">
        <f t="shared" si="6"/>
        <v>FOO-003</v>
      </c>
      <c r="D250" t="str">
        <f t="shared" si="7"/>
        <v>Expense</v>
      </c>
    </row>
    <row r="251" spans="1:4" x14ac:dyDescent="0.25">
      <c r="A251" t="s">
        <v>64</v>
      </c>
      <c r="B251" t="s">
        <v>12</v>
      </c>
      <c r="C251" t="str">
        <f t="shared" si="6"/>
        <v>FOO-003</v>
      </c>
      <c r="D251" t="str">
        <f t="shared" si="7"/>
        <v>Expense</v>
      </c>
    </row>
    <row r="252" spans="1:4" x14ac:dyDescent="0.25">
      <c r="A252" t="s">
        <v>64</v>
      </c>
      <c r="B252" t="s">
        <v>22</v>
      </c>
      <c r="C252" t="str">
        <f t="shared" si="6"/>
        <v>FOO-003</v>
      </c>
      <c r="D252" t="str">
        <f t="shared" si="7"/>
        <v>Expense</v>
      </c>
    </row>
    <row r="253" spans="1:4" x14ac:dyDescent="0.25">
      <c r="A253" t="s">
        <v>64</v>
      </c>
      <c r="B253" t="s">
        <v>24</v>
      </c>
      <c r="C253" t="str">
        <f t="shared" si="6"/>
        <v>FOO-003</v>
      </c>
      <c r="D253" t="str">
        <f t="shared" si="7"/>
        <v>Expense</v>
      </c>
    </row>
    <row r="254" spans="1:4" x14ac:dyDescent="0.25">
      <c r="A254" t="s">
        <v>64</v>
      </c>
      <c r="B254" t="s">
        <v>12</v>
      </c>
      <c r="C254" t="str">
        <f t="shared" si="6"/>
        <v>FOO-003</v>
      </c>
      <c r="D254" t="str">
        <f t="shared" si="7"/>
        <v>Expense</v>
      </c>
    </row>
    <row r="255" spans="1:4" x14ac:dyDescent="0.25">
      <c r="A255" t="s">
        <v>64</v>
      </c>
      <c r="B255" t="s">
        <v>12</v>
      </c>
      <c r="C255" t="str">
        <f t="shared" si="6"/>
        <v>FOO-003</v>
      </c>
      <c r="D255" t="str">
        <f t="shared" si="7"/>
        <v>Expense</v>
      </c>
    </row>
    <row r="256" spans="1:4" x14ac:dyDescent="0.25">
      <c r="A256" t="s">
        <v>68</v>
      </c>
      <c r="B256" t="s">
        <v>48</v>
      </c>
      <c r="C256" t="str">
        <f t="shared" si="6"/>
        <v>TRA-004</v>
      </c>
      <c r="D256" t="str">
        <f t="shared" si="7"/>
        <v>Expense</v>
      </c>
    </row>
    <row r="257" spans="1:4" x14ac:dyDescent="0.25">
      <c r="A257" t="s">
        <v>64</v>
      </c>
      <c r="B257" t="s">
        <v>12</v>
      </c>
      <c r="C257" t="str">
        <f t="shared" si="6"/>
        <v>FOO-003</v>
      </c>
      <c r="D257" t="str">
        <f t="shared" si="7"/>
        <v>Expense</v>
      </c>
    </row>
    <row r="258" spans="1:4" x14ac:dyDescent="0.25">
      <c r="A258" t="s">
        <v>64</v>
      </c>
      <c r="B258" t="s">
        <v>12</v>
      </c>
      <c r="C258" t="str">
        <f t="shared" si="6"/>
        <v>FOO-003</v>
      </c>
      <c r="D258" t="str">
        <f t="shared" si="7"/>
        <v>Expense</v>
      </c>
    </row>
    <row r="259" spans="1:4" x14ac:dyDescent="0.25">
      <c r="A259" t="s">
        <v>64</v>
      </c>
      <c r="B259" t="s">
        <v>22</v>
      </c>
      <c r="C259" t="str">
        <f t="shared" ref="C259:C322" si="8">IF(A259="Salary","SAL-001",
IF(A259="Housing","HOU-002",
IF(A259="Food","FOO-003",
IF(A259="Transportation","TRA-004",
IF(A259="Utilities","UTI-005",
IF(A259="Entertainment","ENT-006",
IF(A259="Medical","MED-007",
IF(A259="Personal","PER-008",
IF(A259="Loan","LOA-009","PVE-010")))))))))</f>
        <v>FOO-003</v>
      </c>
      <c r="D259" t="str">
        <f t="shared" ref="D259:D322" si="9">IF(OR(A259="Salary",A259="Passive"),"Income","Expense")</f>
        <v>Expense</v>
      </c>
    </row>
    <row r="260" spans="1:4" x14ac:dyDescent="0.25">
      <c r="A260" t="s">
        <v>64</v>
      </c>
      <c r="B260" t="s">
        <v>12</v>
      </c>
      <c r="C260" t="str">
        <f t="shared" si="8"/>
        <v>FOO-003</v>
      </c>
      <c r="D260" t="str">
        <f t="shared" si="9"/>
        <v>Expense</v>
      </c>
    </row>
    <row r="261" spans="1:4" x14ac:dyDescent="0.25">
      <c r="A261" t="s">
        <v>64</v>
      </c>
      <c r="B261" t="s">
        <v>12</v>
      </c>
      <c r="C261" t="str">
        <f t="shared" si="8"/>
        <v>FOO-003</v>
      </c>
      <c r="D261" t="str">
        <f t="shared" si="9"/>
        <v>Expense</v>
      </c>
    </row>
    <row r="262" spans="1:4" x14ac:dyDescent="0.25">
      <c r="A262" t="s">
        <v>27</v>
      </c>
      <c r="B262" t="s">
        <v>27</v>
      </c>
      <c r="C262" t="str">
        <f t="shared" si="8"/>
        <v>ENT-006</v>
      </c>
      <c r="D262" t="str">
        <f t="shared" si="9"/>
        <v>Expense</v>
      </c>
    </row>
    <row r="263" spans="1:4" x14ac:dyDescent="0.25">
      <c r="A263" t="s">
        <v>67</v>
      </c>
      <c r="B263" t="s">
        <v>30</v>
      </c>
      <c r="C263" t="str">
        <f t="shared" si="8"/>
        <v>PER-008</v>
      </c>
      <c r="D263" t="str">
        <f t="shared" si="9"/>
        <v>Expense</v>
      </c>
    </row>
    <row r="264" spans="1:4" x14ac:dyDescent="0.25">
      <c r="A264" t="s">
        <v>64</v>
      </c>
      <c r="B264" t="s">
        <v>32</v>
      </c>
      <c r="C264" t="str">
        <f t="shared" si="8"/>
        <v>FOO-003</v>
      </c>
      <c r="D264" t="str">
        <f t="shared" si="9"/>
        <v>Expense</v>
      </c>
    </row>
    <row r="265" spans="1:4" x14ac:dyDescent="0.25">
      <c r="A265" t="s">
        <v>68</v>
      </c>
      <c r="B265" t="s">
        <v>34</v>
      </c>
      <c r="C265" t="str">
        <f t="shared" si="8"/>
        <v>TRA-004</v>
      </c>
      <c r="D265" t="str">
        <f t="shared" si="9"/>
        <v>Expense</v>
      </c>
    </row>
    <row r="266" spans="1:4" x14ac:dyDescent="0.25">
      <c r="A266" t="s">
        <v>37</v>
      </c>
      <c r="B266" t="s">
        <v>36</v>
      </c>
      <c r="C266" t="str">
        <f t="shared" si="8"/>
        <v>PVE-010</v>
      </c>
      <c r="D266" t="str">
        <f t="shared" si="9"/>
        <v>Income</v>
      </c>
    </row>
    <row r="267" spans="1:4" x14ac:dyDescent="0.25">
      <c r="A267" t="s">
        <v>64</v>
      </c>
      <c r="B267" t="s">
        <v>12</v>
      </c>
      <c r="C267" t="str">
        <f t="shared" si="8"/>
        <v>FOO-003</v>
      </c>
      <c r="D267" t="str">
        <f t="shared" si="9"/>
        <v>Expense</v>
      </c>
    </row>
    <row r="268" spans="1:4" x14ac:dyDescent="0.25">
      <c r="A268" t="s">
        <v>64</v>
      </c>
      <c r="B268" t="s">
        <v>12</v>
      </c>
      <c r="C268" t="str">
        <f t="shared" si="8"/>
        <v>FOO-003</v>
      </c>
      <c r="D268" t="str">
        <f t="shared" si="9"/>
        <v>Expense</v>
      </c>
    </row>
    <row r="269" spans="1:4" x14ac:dyDescent="0.25">
      <c r="A269" t="s">
        <v>69</v>
      </c>
      <c r="B269" t="s">
        <v>39</v>
      </c>
      <c r="C269" t="str">
        <f t="shared" si="8"/>
        <v>UTI-005</v>
      </c>
      <c r="D269" t="str">
        <f t="shared" si="9"/>
        <v>Expense</v>
      </c>
    </row>
    <row r="270" spans="1:4" x14ac:dyDescent="0.25">
      <c r="A270" t="s">
        <v>67</v>
      </c>
      <c r="B270" t="s">
        <v>41</v>
      </c>
      <c r="C270" t="str">
        <f t="shared" si="8"/>
        <v>PER-008</v>
      </c>
      <c r="D270" t="str">
        <f t="shared" si="9"/>
        <v>Expense</v>
      </c>
    </row>
    <row r="271" spans="1:4" x14ac:dyDescent="0.25">
      <c r="A271" t="s">
        <v>27</v>
      </c>
      <c r="B271" t="s">
        <v>27</v>
      </c>
      <c r="C271" t="str">
        <f t="shared" si="8"/>
        <v>ENT-006</v>
      </c>
      <c r="D271" t="str">
        <f t="shared" si="9"/>
        <v>Expense</v>
      </c>
    </row>
    <row r="272" spans="1:4" x14ac:dyDescent="0.25">
      <c r="A272" t="s">
        <v>64</v>
      </c>
      <c r="B272" t="s">
        <v>12</v>
      </c>
      <c r="C272" t="str">
        <f t="shared" si="8"/>
        <v>FOO-003</v>
      </c>
      <c r="D272" t="str">
        <f t="shared" si="9"/>
        <v>Expense</v>
      </c>
    </row>
    <row r="273" spans="1:4" x14ac:dyDescent="0.25">
      <c r="A273" t="s">
        <v>64</v>
      </c>
      <c r="B273" t="s">
        <v>12</v>
      </c>
      <c r="C273" t="str">
        <f t="shared" si="8"/>
        <v>FOO-003</v>
      </c>
      <c r="D273" t="str">
        <f t="shared" si="9"/>
        <v>Expense</v>
      </c>
    </row>
    <row r="274" spans="1:4" x14ac:dyDescent="0.25">
      <c r="A274" t="s">
        <v>64</v>
      </c>
      <c r="B274" t="s">
        <v>12</v>
      </c>
      <c r="C274" t="str">
        <f t="shared" si="8"/>
        <v>FOO-003</v>
      </c>
      <c r="D274" t="str">
        <f t="shared" si="9"/>
        <v>Expense</v>
      </c>
    </row>
    <row r="275" spans="1:4" x14ac:dyDescent="0.25">
      <c r="A275" t="s">
        <v>64</v>
      </c>
      <c r="B275" t="s">
        <v>22</v>
      </c>
      <c r="C275" t="str">
        <f t="shared" si="8"/>
        <v>FOO-003</v>
      </c>
      <c r="D275" t="str">
        <f t="shared" si="9"/>
        <v>Expense</v>
      </c>
    </row>
    <row r="276" spans="1:4" x14ac:dyDescent="0.25">
      <c r="A276" t="s">
        <v>64</v>
      </c>
      <c r="B276" t="s">
        <v>32</v>
      </c>
      <c r="C276" t="str">
        <f t="shared" si="8"/>
        <v>FOO-003</v>
      </c>
      <c r="D276" t="str">
        <f t="shared" si="9"/>
        <v>Expense</v>
      </c>
    </row>
    <row r="277" spans="1:4" x14ac:dyDescent="0.25">
      <c r="A277" t="s">
        <v>64</v>
      </c>
      <c r="B277" t="s">
        <v>32</v>
      </c>
      <c r="C277" t="str">
        <f t="shared" si="8"/>
        <v>FOO-003</v>
      </c>
      <c r="D277" t="str">
        <f t="shared" si="9"/>
        <v>Expense</v>
      </c>
    </row>
    <row r="278" spans="1:4" x14ac:dyDescent="0.25">
      <c r="A278" t="s">
        <v>67</v>
      </c>
      <c r="B278" t="s">
        <v>46</v>
      </c>
      <c r="C278" t="str">
        <f t="shared" si="8"/>
        <v>PER-008</v>
      </c>
      <c r="D278" t="str">
        <f t="shared" si="9"/>
        <v>Expense</v>
      </c>
    </row>
    <row r="279" spans="1:4" x14ac:dyDescent="0.25">
      <c r="A279" t="s">
        <v>68</v>
      </c>
      <c r="B279" t="s">
        <v>48</v>
      </c>
      <c r="C279" t="str">
        <f t="shared" si="8"/>
        <v>TRA-004</v>
      </c>
      <c r="D279" t="str">
        <f t="shared" si="9"/>
        <v>Expense</v>
      </c>
    </row>
    <row r="280" spans="1:4" x14ac:dyDescent="0.25">
      <c r="A280" t="s">
        <v>64</v>
      </c>
      <c r="B280" t="s">
        <v>12</v>
      </c>
      <c r="C280" t="str">
        <f t="shared" si="8"/>
        <v>FOO-003</v>
      </c>
      <c r="D280" t="str">
        <f t="shared" si="9"/>
        <v>Expense</v>
      </c>
    </row>
    <row r="281" spans="1:4" x14ac:dyDescent="0.25">
      <c r="A281" t="s">
        <v>64</v>
      </c>
      <c r="B281" t="s">
        <v>12</v>
      </c>
      <c r="C281" t="str">
        <f t="shared" si="8"/>
        <v>FOO-003</v>
      </c>
      <c r="D281" t="str">
        <f t="shared" si="9"/>
        <v>Expense</v>
      </c>
    </row>
    <row r="282" spans="1:4" x14ac:dyDescent="0.25">
      <c r="A282" t="s">
        <v>64</v>
      </c>
      <c r="B282" t="s">
        <v>12</v>
      </c>
      <c r="C282" t="str">
        <f t="shared" si="8"/>
        <v>FOO-003</v>
      </c>
      <c r="D282" t="str">
        <f t="shared" si="9"/>
        <v>Expense</v>
      </c>
    </row>
    <row r="283" spans="1:4" x14ac:dyDescent="0.25">
      <c r="A283" t="s">
        <v>64</v>
      </c>
      <c r="B283" t="s">
        <v>12</v>
      </c>
      <c r="C283" t="str">
        <f t="shared" si="8"/>
        <v>FOO-003</v>
      </c>
      <c r="D283" t="str">
        <f t="shared" si="9"/>
        <v>Expense</v>
      </c>
    </row>
    <row r="284" spans="1:4" x14ac:dyDescent="0.25">
      <c r="A284" t="s">
        <v>64</v>
      </c>
      <c r="B284" t="s">
        <v>12</v>
      </c>
      <c r="C284" t="str">
        <f t="shared" si="8"/>
        <v>FOO-003</v>
      </c>
      <c r="D284" t="str">
        <f t="shared" si="9"/>
        <v>Expense</v>
      </c>
    </row>
    <row r="285" spans="1:4" x14ac:dyDescent="0.25">
      <c r="A285" t="s">
        <v>64</v>
      </c>
      <c r="B285" t="s">
        <v>22</v>
      </c>
      <c r="C285" t="str">
        <f t="shared" si="8"/>
        <v>FOO-003</v>
      </c>
      <c r="D285" t="str">
        <f t="shared" si="9"/>
        <v>Expense</v>
      </c>
    </row>
    <row r="286" spans="1:4" x14ac:dyDescent="0.25">
      <c r="A286" t="s">
        <v>67</v>
      </c>
      <c r="B286" t="s">
        <v>30</v>
      </c>
      <c r="C286" t="str">
        <f t="shared" si="8"/>
        <v>PER-008</v>
      </c>
      <c r="D286" t="str">
        <f t="shared" si="9"/>
        <v>Expense</v>
      </c>
    </row>
    <row r="287" spans="1:4" x14ac:dyDescent="0.25">
      <c r="A287" t="s">
        <v>27</v>
      </c>
      <c r="B287" t="s">
        <v>27</v>
      </c>
      <c r="C287" t="str">
        <f t="shared" si="8"/>
        <v>ENT-006</v>
      </c>
      <c r="D287" t="str">
        <f t="shared" si="9"/>
        <v>Expense</v>
      </c>
    </row>
    <row r="288" spans="1:4" x14ac:dyDescent="0.25">
      <c r="A288" t="s">
        <v>67</v>
      </c>
      <c r="B288" t="s">
        <v>30</v>
      </c>
      <c r="C288" t="str">
        <f t="shared" si="8"/>
        <v>PER-008</v>
      </c>
      <c r="D288" t="str">
        <f t="shared" si="9"/>
        <v>Expense</v>
      </c>
    </row>
    <row r="289" spans="1:4" x14ac:dyDescent="0.25">
      <c r="A289" t="s">
        <v>68</v>
      </c>
      <c r="B289" t="s">
        <v>34</v>
      </c>
      <c r="C289" t="str">
        <f t="shared" si="8"/>
        <v>TRA-004</v>
      </c>
      <c r="D289" t="str">
        <f t="shared" si="9"/>
        <v>Expense</v>
      </c>
    </row>
    <row r="290" spans="1:4" x14ac:dyDescent="0.25">
      <c r="A290" t="s">
        <v>64</v>
      </c>
      <c r="B290" t="s">
        <v>32</v>
      </c>
      <c r="C290" t="str">
        <f t="shared" si="8"/>
        <v>FOO-003</v>
      </c>
      <c r="D290" t="str">
        <f t="shared" si="9"/>
        <v>Expense</v>
      </c>
    </row>
    <row r="291" spans="1:4" x14ac:dyDescent="0.25">
      <c r="A291" t="s">
        <v>64</v>
      </c>
      <c r="B291" t="s">
        <v>12</v>
      </c>
      <c r="C291" t="str">
        <f t="shared" si="8"/>
        <v>FOO-003</v>
      </c>
      <c r="D291" t="str">
        <f t="shared" si="9"/>
        <v>Expense</v>
      </c>
    </row>
    <row r="292" spans="1:4" x14ac:dyDescent="0.25">
      <c r="A292" t="s">
        <v>64</v>
      </c>
      <c r="B292" t="s">
        <v>12</v>
      </c>
      <c r="C292" t="str">
        <f t="shared" si="8"/>
        <v>FOO-003</v>
      </c>
      <c r="D292" t="str">
        <f t="shared" si="9"/>
        <v>Expense</v>
      </c>
    </row>
    <row r="293" spans="1:4" x14ac:dyDescent="0.25">
      <c r="A293" t="s">
        <v>9</v>
      </c>
      <c r="B293" t="s">
        <v>8</v>
      </c>
      <c r="C293" t="str">
        <f t="shared" si="8"/>
        <v>SAL-001</v>
      </c>
      <c r="D293" t="str">
        <f t="shared" si="9"/>
        <v>Income</v>
      </c>
    </row>
    <row r="294" spans="1:4" x14ac:dyDescent="0.25">
      <c r="A294" t="s">
        <v>64</v>
      </c>
      <c r="B294" t="s">
        <v>12</v>
      </c>
      <c r="C294" t="str">
        <f t="shared" si="8"/>
        <v>FOO-003</v>
      </c>
      <c r="D294" t="str">
        <f t="shared" si="9"/>
        <v>Expense</v>
      </c>
    </row>
    <row r="295" spans="1:4" x14ac:dyDescent="0.25">
      <c r="A295" t="s">
        <v>65</v>
      </c>
      <c r="B295" t="s">
        <v>16</v>
      </c>
      <c r="C295" t="str">
        <f t="shared" si="8"/>
        <v>HOU-002</v>
      </c>
      <c r="D295" t="str">
        <f t="shared" si="9"/>
        <v>Expense</v>
      </c>
    </row>
    <row r="296" spans="1:4" x14ac:dyDescent="0.25">
      <c r="A296" t="s">
        <v>66</v>
      </c>
      <c r="B296" t="s">
        <v>19</v>
      </c>
      <c r="C296" t="str">
        <f t="shared" si="8"/>
        <v>LOA-009</v>
      </c>
      <c r="D296" t="str">
        <f t="shared" si="9"/>
        <v>Expense</v>
      </c>
    </row>
    <row r="297" spans="1:4" x14ac:dyDescent="0.25">
      <c r="A297" t="s">
        <v>64</v>
      </c>
      <c r="B297" t="s">
        <v>32</v>
      </c>
      <c r="C297" t="str">
        <f t="shared" si="8"/>
        <v>FOO-003</v>
      </c>
      <c r="D297" t="str">
        <f t="shared" si="9"/>
        <v>Expense</v>
      </c>
    </row>
    <row r="298" spans="1:4" x14ac:dyDescent="0.25">
      <c r="A298" t="s">
        <v>64</v>
      </c>
      <c r="B298" t="s">
        <v>12</v>
      </c>
      <c r="C298" t="str">
        <f t="shared" si="8"/>
        <v>FOO-003</v>
      </c>
      <c r="D298" t="str">
        <f t="shared" si="9"/>
        <v>Expense</v>
      </c>
    </row>
    <row r="299" spans="1:4" x14ac:dyDescent="0.25">
      <c r="A299" t="s">
        <v>64</v>
      </c>
      <c r="B299" t="s">
        <v>12</v>
      </c>
      <c r="C299" t="str">
        <f t="shared" si="8"/>
        <v>FOO-003</v>
      </c>
      <c r="D299" t="str">
        <f t="shared" si="9"/>
        <v>Expense</v>
      </c>
    </row>
    <row r="300" spans="1:4" x14ac:dyDescent="0.25">
      <c r="A300" t="s">
        <v>64</v>
      </c>
      <c r="B300" t="s">
        <v>12</v>
      </c>
      <c r="C300" t="str">
        <f t="shared" si="8"/>
        <v>FOO-003</v>
      </c>
      <c r="D300" t="str">
        <f t="shared" si="9"/>
        <v>Expense</v>
      </c>
    </row>
    <row r="301" spans="1:4" x14ac:dyDescent="0.25">
      <c r="A301" t="s">
        <v>64</v>
      </c>
      <c r="B301" t="s">
        <v>22</v>
      </c>
      <c r="C301" t="str">
        <f t="shared" si="8"/>
        <v>FOO-003</v>
      </c>
      <c r="D301" t="str">
        <f t="shared" si="9"/>
        <v>Expense</v>
      </c>
    </row>
    <row r="302" spans="1:4" x14ac:dyDescent="0.25">
      <c r="A302" t="s">
        <v>64</v>
      </c>
      <c r="B302" t="s">
        <v>24</v>
      </c>
      <c r="C302" t="str">
        <f t="shared" si="8"/>
        <v>FOO-003</v>
      </c>
      <c r="D302" t="str">
        <f t="shared" si="9"/>
        <v>Expense</v>
      </c>
    </row>
    <row r="303" spans="1:4" x14ac:dyDescent="0.25">
      <c r="A303" t="s">
        <v>64</v>
      </c>
      <c r="B303" t="s">
        <v>12</v>
      </c>
      <c r="C303" t="str">
        <f t="shared" si="8"/>
        <v>FOO-003</v>
      </c>
      <c r="D303" t="str">
        <f t="shared" si="9"/>
        <v>Expense</v>
      </c>
    </row>
    <row r="304" spans="1:4" x14ac:dyDescent="0.25">
      <c r="A304" t="s">
        <v>64</v>
      </c>
      <c r="B304" t="s">
        <v>12</v>
      </c>
      <c r="C304" t="str">
        <f t="shared" si="8"/>
        <v>FOO-003</v>
      </c>
      <c r="D304" t="str">
        <f t="shared" si="9"/>
        <v>Expense</v>
      </c>
    </row>
    <row r="305" spans="1:4" x14ac:dyDescent="0.25">
      <c r="A305" t="s">
        <v>68</v>
      </c>
      <c r="B305" t="s">
        <v>48</v>
      </c>
      <c r="C305" t="str">
        <f t="shared" si="8"/>
        <v>TRA-004</v>
      </c>
      <c r="D305" t="str">
        <f t="shared" si="9"/>
        <v>Expense</v>
      </c>
    </row>
    <row r="306" spans="1:4" x14ac:dyDescent="0.25">
      <c r="A306" t="s">
        <v>64</v>
      </c>
      <c r="B306" t="s">
        <v>12</v>
      </c>
      <c r="C306" t="str">
        <f t="shared" si="8"/>
        <v>FOO-003</v>
      </c>
      <c r="D306" t="str">
        <f t="shared" si="9"/>
        <v>Expense</v>
      </c>
    </row>
    <row r="307" spans="1:4" x14ac:dyDescent="0.25">
      <c r="A307" t="s">
        <v>64</v>
      </c>
      <c r="B307" t="s">
        <v>12</v>
      </c>
      <c r="C307" t="str">
        <f t="shared" si="8"/>
        <v>FOO-003</v>
      </c>
      <c r="D307" t="str">
        <f t="shared" si="9"/>
        <v>Expense</v>
      </c>
    </row>
    <row r="308" spans="1:4" x14ac:dyDescent="0.25">
      <c r="A308" t="s">
        <v>64</v>
      </c>
      <c r="B308" t="s">
        <v>22</v>
      </c>
      <c r="C308" t="str">
        <f t="shared" si="8"/>
        <v>FOO-003</v>
      </c>
      <c r="D308" t="str">
        <f t="shared" si="9"/>
        <v>Expense</v>
      </c>
    </row>
    <row r="309" spans="1:4" x14ac:dyDescent="0.25">
      <c r="A309" t="s">
        <v>64</v>
      </c>
      <c r="B309" t="s">
        <v>12</v>
      </c>
      <c r="C309" t="str">
        <f t="shared" si="8"/>
        <v>FOO-003</v>
      </c>
      <c r="D309" t="str">
        <f t="shared" si="9"/>
        <v>Expense</v>
      </c>
    </row>
    <row r="310" spans="1:4" x14ac:dyDescent="0.25">
      <c r="A310" t="s">
        <v>64</v>
      </c>
      <c r="B310" t="s">
        <v>12</v>
      </c>
      <c r="C310" t="str">
        <f t="shared" si="8"/>
        <v>FOO-003</v>
      </c>
      <c r="D310" t="str">
        <f t="shared" si="9"/>
        <v>Expense</v>
      </c>
    </row>
    <row r="311" spans="1:4" x14ac:dyDescent="0.25">
      <c r="A311" t="s">
        <v>27</v>
      </c>
      <c r="B311" t="s">
        <v>27</v>
      </c>
      <c r="C311" t="str">
        <f t="shared" si="8"/>
        <v>ENT-006</v>
      </c>
      <c r="D311" t="str">
        <f t="shared" si="9"/>
        <v>Expense</v>
      </c>
    </row>
    <row r="312" spans="1:4" x14ac:dyDescent="0.25">
      <c r="A312" t="s">
        <v>67</v>
      </c>
      <c r="B312" t="s">
        <v>30</v>
      </c>
      <c r="C312" t="str">
        <f t="shared" si="8"/>
        <v>PER-008</v>
      </c>
      <c r="D312" t="str">
        <f t="shared" si="9"/>
        <v>Expense</v>
      </c>
    </row>
    <row r="313" spans="1:4" x14ac:dyDescent="0.25">
      <c r="A313" t="s">
        <v>64</v>
      </c>
      <c r="B313" t="s">
        <v>32</v>
      </c>
      <c r="C313" t="str">
        <f t="shared" si="8"/>
        <v>FOO-003</v>
      </c>
      <c r="D313" t="str">
        <f t="shared" si="9"/>
        <v>Expense</v>
      </c>
    </row>
    <row r="314" spans="1:4" x14ac:dyDescent="0.25">
      <c r="A314" t="s">
        <v>68</v>
      </c>
      <c r="B314" t="s">
        <v>34</v>
      </c>
      <c r="C314" t="str">
        <f t="shared" si="8"/>
        <v>TRA-004</v>
      </c>
      <c r="D314" t="str">
        <f t="shared" si="9"/>
        <v>Expense</v>
      </c>
    </row>
    <row r="315" spans="1:4" x14ac:dyDescent="0.25">
      <c r="A315" t="s">
        <v>37</v>
      </c>
      <c r="B315" t="s">
        <v>36</v>
      </c>
      <c r="C315" t="str">
        <f t="shared" si="8"/>
        <v>PVE-010</v>
      </c>
      <c r="D315" t="str">
        <f t="shared" si="9"/>
        <v>Income</v>
      </c>
    </row>
    <row r="316" spans="1:4" x14ac:dyDescent="0.25">
      <c r="A316" t="s">
        <v>64</v>
      </c>
      <c r="B316" t="s">
        <v>12</v>
      </c>
      <c r="C316" t="str">
        <f t="shared" si="8"/>
        <v>FOO-003</v>
      </c>
      <c r="D316" t="str">
        <f t="shared" si="9"/>
        <v>Expense</v>
      </c>
    </row>
    <row r="317" spans="1:4" x14ac:dyDescent="0.25">
      <c r="A317" t="s">
        <v>64</v>
      </c>
      <c r="B317" t="s">
        <v>12</v>
      </c>
      <c r="C317" t="str">
        <f t="shared" si="8"/>
        <v>FOO-003</v>
      </c>
      <c r="D317" t="str">
        <f t="shared" si="9"/>
        <v>Expense</v>
      </c>
    </row>
    <row r="318" spans="1:4" x14ac:dyDescent="0.25">
      <c r="A318" t="s">
        <v>69</v>
      </c>
      <c r="B318" t="s">
        <v>39</v>
      </c>
      <c r="C318" t="str">
        <f t="shared" si="8"/>
        <v>UTI-005</v>
      </c>
      <c r="D318" t="str">
        <f t="shared" si="9"/>
        <v>Expense</v>
      </c>
    </row>
    <row r="319" spans="1:4" x14ac:dyDescent="0.25">
      <c r="A319" t="s">
        <v>67</v>
      </c>
      <c r="B319" t="s">
        <v>41</v>
      </c>
      <c r="C319" t="str">
        <f t="shared" si="8"/>
        <v>PER-008</v>
      </c>
      <c r="D319" t="str">
        <f t="shared" si="9"/>
        <v>Expense</v>
      </c>
    </row>
    <row r="320" spans="1:4" x14ac:dyDescent="0.25">
      <c r="A320" t="s">
        <v>27</v>
      </c>
      <c r="B320" t="s">
        <v>27</v>
      </c>
      <c r="C320" t="str">
        <f t="shared" si="8"/>
        <v>ENT-006</v>
      </c>
      <c r="D320" t="str">
        <f t="shared" si="9"/>
        <v>Expense</v>
      </c>
    </row>
    <row r="321" spans="1:4" x14ac:dyDescent="0.25">
      <c r="A321" t="s">
        <v>64</v>
      </c>
      <c r="B321" t="s">
        <v>12</v>
      </c>
      <c r="C321" t="str">
        <f t="shared" si="8"/>
        <v>FOO-003</v>
      </c>
      <c r="D321" t="str">
        <f t="shared" si="9"/>
        <v>Expense</v>
      </c>
    </row>
    <row r="322" spans="1:4" x14ac:dyDescent="0.25">
      <c r="A322" t="s">
        <v>64</v>
      </c>
      <c r="B322" t="s">
        <v>12</v>
      </c>
      <c r="C322" t="str">
        <f t="shared" si="8"/>
        <v>FOO-003</v>
      </c>
      <c r="D322" t="str">
        <f t="shared" si="9"/>
        <v>Expense</v>
      </c>
    </row>
    <row r="323" spans="1:4" x14ac:dyDescent="0.25">
      <c r="A323" t="s">
        <v>64</v>
      </c>
      <c r="B323" t="s">
        <v>12</v>
      </c>
      <c r="C323" t="str">
        <f t="shared" ref="C323:C386" si="10">IF(A323="Salary","SAL-001",
IF(A323="Housing","HOU-002",
IF(A323="Food","FOO-003",
IF(A323="Transportation","TRA-004",
IF(A323="Utilities","UTI-005",
IF(A323="Entertainment","ENT-006",
IF(A323="Medical","MED-007",
IF(A323="Personal","PER-008",
IF(A323="Loan","LOA-009","PVE-010")))))))))</f>
        <v>FOO-003</v>
      </c>
      <c r="D323" t="str">
        <f t="shared" ref="D323:D386" si="11">IF(OR(A323="Salary",A323="Passive"),"Income","Expense")</f>
        <v>Expense</v>
      </c>
    </row>
    <row r="324" spans="1:4" x14ac:dyDescent="0.25">
      <c r="A324" t="s">
        <v>64</v>
      </c>
      <c r="B324" t="s">
        <v>22</v>
      </c>
      <c r="C324" t="str">
        <f t="shared" si="10"/>
        <v>FOO-003</v>
      </c>
      <c r="D324" t="str">
        <f t="shared" si="11"/>
        <v>Expense</v>
      </c>
    </row>
    <row r="325" spans="1:4" x14ac:dyDescent="0.25">
      <c r="A325" t="s">
        <v>64</v>
      </c>
      <c r="B325" t="s">
        <v>32</v>
      </c>
      <c r="C325" t="str">
        <f t="shared" si="10"/>
        <v>FOO-003</v>
      </c>
      <c r="D325" t="str">
        <f t="shared" si="11"/>
        <v>Expense</v>
      </c>
    </row>
    <row r="326" spans="1:4" x14ac:dyDescent="0.25">
      <c r="A326" t="s">
        <v>64</v>
      </c>
      <c r="B326" t="s">
        <v>32</v>
      </c>
      <c r="C326" t="str">
        <f t="shared" si="10"/>
        <v>FOO-003</v>
      </c>
      <c r="D326" t="str">
        <f t="shared" si="11"/>
        <v>Expense</v>
      </c>
    </row>
    <row r="327" spans="1:4" x14ac:dyDescent="0.25">
      <c r="A327" t="s">
        <v>67</v>
      </c>
      <c r="B327" t="s">
        <v>46</v>
      </c>
      <c r="C327" t="str">
        <f t="shared" si="10"/>
        <v>PER-008</v>
      </c>
      <c r="D327" t="str">
        <f t="shared" si="11"/>
        <v>Expense</v>
      </c>
    </row>
    <row r="328" spans="1:4" x14ac:dyDescent="0.25">
      <c r="A328" t="s">
        <v>68</v>
      </c>
      <c r="B328" t="s">
        <v>48</v>
      </c>
      <c r="C328" t="str">
        <f t="shared" si="10"/>
        <v>TRA-004</v>
      </c>
      <c r="D328" t="str">
        <f t="shared" si="11"/>
        <v>Expense</v>
      </c>
    </row>
    <row r="329" spans="1:4" x14ac:dyDescent="0.25">
      <c r="A329" t="s">
        <v>64</v>
      </c>
      <c r="B329" t="s">
        <v>12</v>
      </c>
      <c r="C329" t="str">
        <f t="shared" si="10"/>
        <v>FOO-003</v>
      </c>
      <c r="D329" t="str">
        <f t="shared" si="11"/>
        <v>Expense</v>
      </c>
    </row>
    <row r="330" spans="1:4" x14ac:dyDescent="0.25">
      <c r="A330" t="s">
        <v>64</v>
      </c>
      <c r="B330" t="s">
        <v>12</v>
      </c>
      <c r="C330" t="str">
        <f t="shared" si="10"/>
        <v>FOO-003</v>
      </c>
      <c r="D330" t="str">
        <f t="shared" si="11"/>
        <v>Expense</v>
      </c>
    </row>
    <row r="331" spans="1:4" x14ac:dyDescent="0.25">
      <c r="A331" t="s">
        <v>64</v>
      </c>
      <c r="B331" t="s">
        <v>12</v>
      </c>
      <c r="C331" t="str">
        <f t="shared" si="10"/>
        <v>FOO-003</v>
      </c>
      <c r="D331" t="str">
        <f t="shared" si="11"/>
        <v>Expense</v>
      </c>
    </row>
    <row r="332" spans="1:4" x14ac:dyDescent="0.25">
      <c r="A332" t="s">
        <v>64</v>
      </c>
      <c r="B332" t="s">
        <v>12</v>
      </c>
      <c r="C332" t="str">
        <f t="shared" si="10"/>
        <v>FOO-003</v>
      </c>
      <c r="D332" t="str">
        <f t="shared" si="11"/>
        <v>Expense</v>
      </c>
    </row>
    <row r="333" spans="1:4" x14ac:dyDescent="0.25">
      <c r="A333" t="s">
        <v>64</v>
      </c>
      <c r="B333" t="s">
        <v>12</v>
      </c>
      <c r="C333" t="str">
        <f t="shared" si="10"/>
        <v>FOO-003</v>
      </c>
      <c r="D333" t="str">
        <f t="shared" si="11"/>
        <v>Expense</v>
      </c>
    </row>
    <row r="334" spans="1:4" x14ac:dyDescent="0.25">
      <c r="A334" t="s">
        <v>64</v>
      </c>
      <c r="B334" t="s">
        <v>22</v>
      </c>
      <c r="C334" t="str">
        <f t="shared" si="10"/>
        <v>FOO-003</v>
      </c>
      <c r="D334" t="str">
        <f t="shared" si="11"/>
        <v>Expense</v>
      </c>
    </row>
    <row r="335" spans="1:4" x14ac:dyDescent="0.25">
      <c r="A335" t="s">
        <v>67</v>
      </c>
      <c r="B335" t="s">
        <v>30</v>
      </c>
      <c r="C335" t="str">
        <f t="shared" si="10"/>
        <v>PER-008</v>
      </c>
      <c r="D335" t="str">
        <f t="shared" si="11"/>
        <v>Expense</v>
      </c>
    </row>
    <row r="336" spans="1:4" x14ac:dyDescent="0.25">
      <c r="A336" t="s">
        <v>65</v>
      </c>
      <c r="B336" t="s">
        <v>59</v>
      </c>
      <c r="C336" t="str">
        <f t="shared" si="10"/>
        <v>HOU-002</v>
      </c>
      <c r="D336" t="str">
        <f t="shared" si="11"/>
        <v>Expense</v>
      </c>
    </row>
    <row r="337" spans="1:4" x14ac:dyDescent="0.25">
      <c r="A337" t="s">
        <v>67</v>
      </c>
      <c r="B337" t="s">
        <v>30</v>
      </c>
      <c r="C337" t="str">
        <f t="shared" si="10"/>
        <v>PER-008</v>
      </c>
      <c r="D337" t="str">
        <f t="shared" si="11"/>
        <v>Expense</v>
      </c>
    </row>
    <row r="338" spans="1:4" x14ac:dyDescent="0.25">
      <c r="A338" t="s">
        <v>68</v>
      </c>
      <c r="B338" t="s">
        <v>34</v>
      </c>
      <c r="C338" t="str">
        <f t="shared" si="10"/>
        <v>TRA-004</v>
      </c>
      <c r="D338" t="str">
        <f t="shared" si="11"/>
        <v>Expense</v>
      </c>
    </row>
    <row r="339" spans="1:4" x14ac:dyDescent="0.25">
      <c r="A339" t="s">
        <v>64</v>
      </c>
      <c r="B339" t="s">
        <v>32</v>
      </c>
      <c r="C339" t="str">
        <f t="shared" si="10"/>
        <v>FOO-003</v>
      </c>
      <c r="D339" t="str">
        <f t="shared" si="11"/>
        <v>Expense</v>
      </c>
    </row>
    <row r="340" spans="1:4" x14ac:dyDescent="0.25">
      <c r="A340" t="s">
        <v>64</v>
      </c>
      <c r="B340" t="s">
        <v>12</v>
      </c>
      <c r="C340" t="str">
        <f t="shared" si="10"/>
        <v>FOO-003</v>
      </c>
      <c r="D340" t="str">
        <f t="shared" si="11"/>
        <v>Expense</v>
      </c>
    </row>
    <row r="341" spans="1:4" x14ac:dyDescent="0.25">
      <c r="A341" t="s">
        <v>64</v>
      </c>
      <c r="B341" t="s">
        <v>12</v>
      </c>
      <c r="C341" t="str">
        <f t="shared" si="10"/>
        <v>FOO-003</v>
      </c>
      <c r="D341" t="str">
        <f t="shared" si="11"/>
        <v>Expense</v>
      </c>
    </row>
    <row r="342" spans="1:4" x14ac:dyDescent="0.25">
      <c r="A342" t="s">
        <v>9</v>
      </c>
      <c r="B342" t="s">
        <v>8</v>
      </c>
      <c r="C342" t="str">
        <f t="shared" si="10"/>
        <v>SAL-001</v>
      </c>
      <c r="D342" t="str">
        <f t="shared" si="11"/>
        <v>Income</v>
      </c>
    </row>
    <row r="343" spans="1:4" x14ac:dyDescent="0.25">
      <c r="A343" t="s">
        <v>64</v>
      </c>
      <c r="B343" t="s">
        <v>12</v>
      </c>
      <c r="C343" t="str">
        <f t="shared" si="10"/>
        <v>FOO-003</v>
      </c>
      <c r="D343" t="str">
        <f t="shared" si="11"/>
        <v>Expense</v>
      </c>
    </row>
    <row r="344" spans="1:4" x14ac:dyDescent="0.25">
      <c r="A344" t="s">
        <v>65</v>
      </c>
      <c r="B344" t="s">
        <v>16</v>
      </c>
      <c r="C344" t="str">
        <f t="shared" si="10"/>
        <v>HOU-002</v>
      </c>
      <c r="D344" t="str">
        <f t="shared" si="11"/>
        <v>Expense</v>
      </c>
    </row>
    <row r="345" spans="1:4" x14ac:dyDescent="0.25">
      <c r="A345" t="s">
        <v>66</v>
      </c>
      <c r="B345" t="s">
        <v>19</v>
      </c>
      <c r="C345" t="str">
        <f t="shared" si="10"/>
        <v>LOA-009</v>
      </c>
      <c r="D345" t="str">
        <f t="shared" si="11"/>
        <v>Expense</v>
      </c>
    </row>
    <row r="346" spans="1:4" x14ac:dyDescent="0.25">
      <c r="A346" t="s">
        <v>64</v>
      </c>
      <c r="B346" t="s">
        <v>12</v>
      </c>
      <c r="C346" t="str">
        <f t="shared" si="10"/>
        <v>FOO-003</v>
      </c>
      <c r="D346" t="str">
        <f t="shared" si="11"/>
        <v>Expense</v>
      </c>
    </row>
    <row r="347" spans="1:4" x14ac:dyDescent="0.25">
      <c r="A347" t="s">
        <v>64</v>
      </c>
      <c r="B347" t="s">
        <v>12</v>
      </c>
      <c r="C347" t="str">
        <f t="shared" si="10"/>
        <v>FOO-003</v>
      </c>
      <c r="D347" t="str">
        <f t="shared" si="11"/>
        <v>Expense</v>
      </c>
    </row>
    <row r="348" spans="1:4" x14ac:dyDescent="0.25">
      <c r="A348" t="s">
        <v>64</v>
      </c>
      <c r="B348" t="s">
        <v>12</v>
      </c>
      <c r="C348" t="str">
        <f t="shared" si="10"/>
        <v>FOO-003</v>
      </c>
      <c r="D348" t="str">
        <f t="shared" si="11"/>
        <v>Expense</v>
      </c>
    </row>
    <row r="349" spans="1:4" x14ac:dyDescent="0.25">
      <c r="A349" t="s">
        <v>64</v>
      </c>
      <c r="B349" t="s">
        <v>12</v>
      </c>
      <c r="C349" t="str">
        <f t="shared" si="10"/>
        <v>FOO-003</v>
      </c>
      <c r="D349" t="str">
        <f t="shared" si="11"/>
        <v>Expense</v>
      </c>
    </row>
    <row r="350" spans="1:4" x14ac:dyDescent="0.25">
      <c r="A350" t="s">
        <v>64</v>
      </c>
      <c r="B350" t="s">
        <v>22</v>
      </c>
      <c r="C350" t="str">
        <f t="shared" si="10"/>
        <v>FOO-003</v>
      </c>
      <c r="D350" t="str">
        <f t="shared" si="11"/>
        <v>Expense</v>
      </c>
    </row>
    <row r="351" spans="1:4" x14ac:dyDescent="0.25">
      <c r="A351" t="s">
        <v>64</v>
      </c>
      <c r="B351" t="s">
        <v>24</v>
      </c>
      <c r="C351" t="str">
        <f t="shared" si="10"/>
        <v>FOO-003</v>
      </c>
      <c r="D351" t="str">
        <f t="shared" si="11"/>
        <v>Expense</v>
      </c>
    </row>
    <row r="352" spans="1:4" x14ac:dyDescent="0.25">
      <c r="A352" t="s">
        <v>64</v>
      </c>
      <c r="B352" t="s">
        <v>12</v>
      </c>
      <c r="C352" t="str">
        <f t="shared" si="10"/>
        <v>FOO-003</v>
      </c>
      <c r="D352" t="str">
        <f t="shared" si="11"/>
        <v>Expense</v>
      </c>
    </row>
    <row r="353" spans="1:4" x14ac:dyDescent="0.25">
      <c r="A353" t="s">
        <v>64</v>
      </c>
      <c r="B353" t="s">
        <v>12</v>
      </c>
      <c r="C353" t="str">
        <f t="shared" si="10"/>
        <v>FOO-003</v>
      </c>
      <c r="D353" t="str">
        <f t="shared" si="11"/>
        <v>Expense</v>
      </c>
    </row>
    <row r="354" spans="1:4" x14ac:dyDescent="0.25">
      <c r="A354" t="s">
        <v>68</v>
      </c>
      <c r="B354" t="s">
        <v>48</v>
      </c>
      <c r="C354" t="str">
        <f t="shared" si="10"/>
        <v>TRA-004</v>
      </c>
      <c r="D354" t="str">
        <f t="shared" si="11"/>
        <v>Expense</v>
      </c>
    </row>
    <row r="355" spans="1:4" x14ac:dyDescent="0.25">
      <c r="A355" t="s">
        <v>64</v>
      </c>
      <c r="B355" t="s">
        <v>12</v>
      </c>
      <c r="C355" t="str">
        <f t="shared" si="10"/>
        <v>FOO-003</v>
      </c>
      <c r="D355" t="str">
        <f t="shared" si="11"/>
        <v>Expense</v>
      </c>
    </row>
    <row r="356" spans="1:4" x14ac:dyDescent="0.25">
      <c r="A356" t="s">
        <v>64</v>
      </c>
      <c r="B356" t="s">
        <v>12</v>
      </c>
      <c r="C356" t="str">
        <f t="shared" si="10"/>
        <v>FOO-003</v>
      </c>
      <c r="D356" t="str">
        <f t="shared" si="11"/>
        <v>Expense</v>
      </c>
    </row>
    <row r="357" spans="1:4" x14ac:dyDescent="0.25">
      <c r="A357" t="s">
        <v>64</v>
      </c>
      <c r="B357" t="s">
        <v>22</v>
      </c>
      <c r="C357" t="str">
        <f t="shared" si="10"/>
        <v>FOO-003</v>
      </c>
      <c r="D357" t="str">
        <f t="shared" si="11"/>
        <v>Expense</v>
      </c>
    </row>
    <row r="358" spans="1:4" x14ac:dyDescent="0.25">
      <c r="A358" t="s">
        <v>64</v>
      </c>
      <c r="B358" t="s">
        <v>12</v>
      </c>
      <c r="C358" t="str">
        <f t="shared" si="10"/>
        <v>FOO-003</v>
      </c>
      <c r="D358" t="str">
        <f t="shared" si="11"/>
        <v>Expense</v>
      </c>
    </row>
    <row r="359" spans="1:4" x14ac:dyDescent="0.25">
      <c r="A359" t="s">
        <v>64</v>
      </c>
      <c r="B359" t="s">
        <v>12</v>
      </c>
      <c r="C359" t="str">
        <f t="shared" si="10"/>
        <v>FOO-003</v>
      </c>
      <c r="D359" t="str">
        <f t="shared" si="11"/>
        <v>Expense</v>
      </c>
    </row>
    <row r="360" spans="1:4" x14ac:dyDescent="0.25">
      <c r="A360" t="s">
        <v>27</v>
      </c>
      <c r="B360" t="s">
        <v>27</v>
      </c>
      <c r="C360" t="str">
        <f t="shared" si="10"/>
        <v>ENT-006</v>
      </c>
      <c r="D360" t="str">
        <f t="shared" si="11"/>
        <v>Expense</v>
      </c>
    </row>
    <row r="361" spans="1:4" x14ac:dyDescent="0.25">
      <c r="A361" t="s">
        <v>67</v>
      </c>
      <c r="B361" t="s">
        <v>30</v>
      </c>
      <c r="C361" t="str">
        <f t="shared" si="10"/>
        <v>PER-008</v>
      </c>
      <c r="D361" t="str">
        <f t="shared" si="11"/>
        <v>Expense</v>
      </c>
    </row>
    <row r="362" spans="1:4" x14ac:dyDescent="0.25">
      <c r="A362" t="s">
        <v>64</v>
      </c>
      <c r="B362" t="s">
        <v>32</v>
      </c>
      <c r="C362" t="str">
        <f t="shared" si="10"/>
        <v>FOO-003</v>
      </c>
      <c r="D362" t="str">
        <f t="shared" si="11"/>
        <v>Expense</v>
      </c>
    </row>
    <row r="363" spans="1:4" x14ac:dyDescent="0.25">
      <c r="A363" t="s">
        <v>68</v>
      </c>
      <c r="B363" t="s">
        <v>34</v>
      </c>
      <c r="C363" t="str">
        <f t="shared" si="10"/>
        <v>TRA-004</v>
      </c>
      <c r="D363" t="str">
        <f t="shared" si="11"/>
        <v>Expense</v>
      </c>
    </row>
    <row r="364" spans="1:4" x14ac:dyDescent="0.25">
      <c r="A364" t="s">
        <v>37</v>
      </c>
      <c r="B364" t="s">
        <v>36</v>
      </c>
      <c r="C364" t="str">
        <f t="shared" si="10"/>
        <v>PVE-010</v>
      </c>
      <c r="D364" t="str">
        <f t="shared" si="11"/>
        <v>Income</v>
      </c>
    </row>
    <row r="365" spans="1:4" x14ac:dyDescent="0.25">
      <c r="A365" t="s">
        <v>64</v>
      </c>
      <c r="B365" t="s">
        <v>12</v>
      </c>
      <c r="C365" t="str">
        <f t="shared" si="10"/>
        <v>FOO-003</v>
      </c>
      <c r="D365" t="str">
        <f t="shared" si="11"/>
        <v>Expense</v>
      </c>
    </row>
    <row r="366" spans="1:4" x14ac:dyDescent="0.25">
      <c r="A366" t="s">
        <v>64</v>
      </c>
      <c r="B366" t="s">
        <v>12</v>
      </c>
      <c r="C366" t="str">
        <f t="shared" si="10"/>
        <v>FOO-003</v>
      </c>
      <c r="D366" t="str">
        <f t="shared" si="11"/>
        <v>Expense</v>
      </c>
    </row>
    <row r="367" spans="1:4" x14ac:dyDescent="0.25">
      <c r="A367" t="s">
        <v>69</v>
      </c>
      <c r="B367" t="s">
        <v>39</v>
      </c>
      <c r="C367" t="str">
        <f t="shared" si="10"/>
        <v>UTI-005</v>
      </c>
      <c r="D367" t="str">
        <f t="shared" si="11"/>
        <v>Expense</v>
      </c>
    </row>
    <row r="368" spans="1:4" x14ac:dyDescent="0.25">
      <c r="A368" t="s">
        <v>67</v>
      </c>
      <c r="B368" t="s">
        <v>41</v>
      </c>
      <c r="C368" t="str">
        <f t="shared" si="10"/>
        <v>PER-008</v>
      </c>
      <c r="D368" t="str">
        <f t="shared" si="11"/>
        <v>Expense</v>
      </c>
    </row>
    <row r="369" spans="1:4" x14ac:dyDescent="0.25">
      <c r="A369" t="s">
        <v>27</v>
      </c>
      <c r="B369" t="s">
        <v>27</v>
      </c>
      <c r="C369" t="str">
        <f t="shared" si="10"/>
        <v>ENT-006</v>
      </c>
      <c r="D369" t="str">
        <f t="shared" si="11"/>
        <v>Expense</v>
      </c>
    </row>
    <row r="370" spans="1:4" x14ac:dyDescent="0.25">
      <c r="A370" t="s">
        <v>64</v>
      </c>
      <c r="B370" t="s">
        <v>12</v>
      </c>
      <c r="C370" t="str">
        <f t="shared" si="10"/>
        <v>FOO-003</v>
      </c>
      <c r="D370" t="str">
        <f t="shared" si="11"/>
        <v>Expense</v>
      </c>
    </row>
    <row r="371" spans="1:4" x14ac:dyDescent="0.25">
      <c r="A371" t="s">
        <v>64</v>
      </c>
      <c r="B371" t="s">
        <v>12</v>
      </c>
      <c r="C371" t="str">
        <f t="shared" si="10"/>
        <v>FOO-003</v>
      </c>
      <c r="D371" t="str">
        <f t="shared" si="11"/>
        <v>Expense</v>
      </c>
    </row>
    <row r="372" spans="1:4" x14ac:dyDescent="0.25">
      <c r="A372" t="s">
        <v>64</v>
      </c>
      <c r="B372" t="s">
        <v>12</v>
      </c>
      <c r="C372" t="str">
        <f t="shared" si="10"/>
        <v>FOO-003</v>
      </c>
      <c r="D372" t="str">
        <f t="shared" si="11"/>
        <v>Expense</v>
      </c>
    </row>
    <row r="373" spans="1:4" x14ac:dyDescent="0.25">
      <c r="A373" t="s">
        <v>64</v>
      </c>
      <c r="B373" t="s">
        <v>22</v>
      </c>
      <c r="C373" t="str">
        <f t="shared" si="10"/>
        <v>FOO-003</v>
      </c>
      <c r="D373" t="str">
        <f t="shared" si="11"/>
        <v>Expense</v>
      </c>
    </row>
    <row r="374" spans="1:4" x14ac:dyDescent="0.25">
      <c r="A374" t="s">
        <v>64</v>
      </c>
      <c r="B374" t="s">
        <v>32</v>
      </c>
      <c r="C374" t="str">
        <f t="shared" si="10"/>
        <v>FOO-003</v>
      </c>
      <c r="D374" t="str">
        <f t="shared" si="11"/>
        <v>Expense</v>
      </c>
    </row>
    <row r="375" spans="1:4" x14ac:dyDescent="0.25">
      <c r="A375" t="s">
        <v>64</v>
      </c>
      <c r="B375" t="s">
        <v>32</v>
      </c>
      <c r="C375" t="str">
        <f t="shared" si="10"/>
        <v>FOO-003</v>
      </c>
      <c r="D375" t="str">
        <f t="shared" si="11"/>
        <v>Expense</v>
      </c>
    </row>
    <row r="376" spans="1:4" x14ac:dyDescent="0.25">
      <c r="A376" t="s">
        <v>67</v>
      </c>
      <c r="B376" t="s">
        <v>46</v>
      </c>
      <c r="C376" t="str">
        <f t="shared" si="10"/>
        <v>PER-008</v>
      </c>
      <c r="D376" t="str">
        <f t="shared" si="11"/>
        <v>Expense</v>
      </c>
    </row>
    <row r="377" spans="1:4" x14ac:dyDescent="0.25">
      <c r="A377" t="s">
        <v>68</v>
      </c>
      <c r="B377" t="s">
        <v>48</v>
      </c>
      <c r="C377" t="str">
        <f t="shared" si="10"/>
        <v>TRA-004</v>
      </c>
      <c r="D377" t="str">
        <f t="shared" si="11"/>
        <v>Expense</v>
      </c>
    </row>
    <row r="378" spans="1:4" x14ac:dyDescent="0.25">
      <c r="A378" t="s">
        <v>64</v>
      </c>
      <c r="B378" t="s">
        <v>12</v>
      </c>
      <c r="C378" t="str">
        <f t="shared" si="10"/>
        <v>FOO-003</v>
      </c>
      <c r="D378" t="str">
        <f t="shared" si="11"/>
        <v>Expense</v>
      </c>
    </row>
    <row r="379" spans="1:4" x14ac:dyDescent="0.25">
      <c r="A379" t="s">
        <v>64</v>
      </c>
      <c r="B379" t="s">
        <v>12</v>
      </c>
      <c r="C379" t="str">
        <f t="shared" si="10"/>
        <v>FOO-003</v>
      </c>
      <c r="D379" t="str">
        <f t="shared" si="11"/>
        <v>Expense</v>
      </c>
    </row>
    <row r="380" spans="1:4" x14ac:dyDescent="0.25">
      <c r="A380" t="s">
        <v>64</v>
      </c>
      <c r="B380" t="s">
        <v>12</v>
      </c>
      <c r="C380" t="str">
        <f t="shared" si="10"/>
        <v>FOO-003</v>
      </c>
      <c r="D380" t="str">
        <f t="shared" si="11"/>
        <v>Expense</v>
      </c>
    </row>
    <row r="381" spans="1:4" x14ac:dyDescent="0.25">
      <c r="A381" t="s">
        <v>64</v>
      </c>
      <c r="B381" t="s">
        <v>12</v>
      </c>
      <c r="C381" t="str">
        <f t="shared" si="10"/>
        <v>FOO-003</v>
      </c>
      <c r="D381" t="str">
        <f t="shared" si="11"/>
        <v>Expense</v>
      </c>
    </row>
    <row r="382" spans="1:4" x14ac:dyDescent="0.25">
      <c r="A382" t="s">
        <v>64</v>
      </c>
      <c r="B382" t="s">
        <v>12</v>
      </c>
      <c r="C382" t="str">
        <f t="shared" si="10"/>
        <v>FOO-003</v>
      </c>
      <c r="D382" t="str">
        <f t="shared" si="11"/>
        <v>Expense</v>
      </c>
    </row>
    <row r="383" spans="1:4" x14ac:dyDescent="0.25">
      <c r="A383" t="s">
        <v>64</v>
      </c>
      <c r="B383" t="s">
        <v>22</v>
      </c>
      <c r="C383" t="str">
        <f t="shared" si="10"/>
        <v>FOO-003</v>
      </c>
      <c r="D383" t="str">
        <f t="shared" si="11"/>
        <v>Expense</v>
      </c>
    </row>
    <row r="384" spans="1:4" x14ac:dyDescent="0.25">
      <c r="A384" t="s">
        <v>67</v>
      </c>
      <c r="B384" t="s">
        <v>30</v>
      </c>
      <c r="C384" t="str">
        <f t="shared" si="10"/>
        <v>PER-008</v>
      </c>
      <c r="D384" t="str">
        <f t="shared" si="11"/>
        <v>Expense</v>
      </c>
    </row>
    <row r="385" spans="1:4" x14ac:dyDescent="0.25">
      <c r="A385" t="s">
        <v>27</v>
      </c>
      <c r="B385" t="s">
        <v>27</v>
      </c>
      <c r="C385" t="str">
        <f t="shared" si="10"/>
        <v>ENT-006</v>
      </c>
      <c r="D385" t="str">
        <f t="shared" si="11"/>
        <v>Expense</v>
      </c>
    </row>
    <row r="386" spans="1:4" x14ac:dyDescent="0.25">
      <c r="A386" t="s">
        <v>67</v>
      </c>
      <c r="B386" t="s">
        <v>30</v>
      </c>
      <c r="C386" t="str">
        <f t="shared" si="10"/>
        <v>PER-008</v>
      </c>
      <c r="D386" t="str">
        <f t="shared" si="11"/>
        <v>Expense</v>
      </c>
    </row>
    <row r="387" spans="1:4" x14ac:dyDescent="0.25">
      <c r="A387" t="s">
        <v>68</v>
      </c>
      <c r="B387" t="s">
        <v>34</v>
      </c>
      <c r="C387" t="str">
        <f t="shared" ref="C387:C450" si="12">IF(A387="Salary","SAL-001",
IF(A387="Housing","HOU-002",
IF(A387="Food","FOO-003",
IF(A387="Transportation","TRA-004",
IF(A387="Utilities","UTI-005",
IF(A387="Entertainment","ENT-006",
IF(A387="Medical","MED-007",
IF(A387="Personal","PER-008",
IF(A387="Loan","LOA-009","PVE-010")))))))))</f>
        <v>TRA-004</v>
      </c>
      <c r="D387" t="str">
        <f t="shared" ref="D387:D450" si="13">IF(OR(A387="Salary",A387="Passive"),"Income","Expense")</f>
        <v>Expense</v>
      </c>
    </row>
    <row r="388" spans="1:4" x14ac:dyDescent="0.25">
      <c r="A388" t="s">
        <v>64</v>
      </c>
      <c r="B388" t="s">
        <v>32</v>
      </c>
      <c r="C388" t="str">
        <f t="shared" si="12"/>
        <v>FOO-003</v>
      </c>
      <c r="D388" t="str">
        <f t="shared" si="13"/>
        <v>Expense</v>
      </c>
    </row>
    <row r="389" spans="1:4" x14ac:dyDescent="0.25">
      <c r="A389" t="s">
        <v>64</v>
      </c>
      <c r="B389" t="s">
        <v>12</v>
      </c>
      <c r="C389" t="str">
        <f t="shared" si="12"/>
        <v>FOO-003</v>
      </c>
      <c r="D389" t="str">
        <f t="shared" si="13"/>
        <v>Expense</v>
      </c>
    </row>
    <row r="390" spans="1:4" x14ac:dyDescent="0.25">
      <c r="A390" t="s">
        <v>64</v>
      </c>
      <c r="B390" t="s">
        <v>12</v>
      </c>
      <c r="C390" t="str">
        <f t="shared" si="12"/>
        <v>FOO-003</v>
      </c>
      <c r="D390" t="str">
        <f t="shared" si="13"/>
        <v>Expense</v>
      </c>
    </row>
    <row r="391" spans="1:4" x14ac:dyDescent="0.25">
      <c r="A391" t="s">
        <v>9</v>
      </c>
      <c r="B391" t="s">
        <v>8</v>
      </c>
      <c r="C391" t="str">
        <f t="shared" si="12"/>
        <v>SAL-001</v>
      </c>
      <c r="D391" t="str">
        <f t="shared" si="13"/>
        <v>Income</v>
      </c>
    </row>
    <row r="392" spans="1:4" x14ac:dyDescent="0.25">
      <c r="A392" t="s">
        <v>64</v>
      </c>
      <c r="B392" t="s">
        <v>12</v>
      </c>
      <c r="C392" t="str">
        <f t="shared" si="12"/>
        <v>FOO-003</v>
      </c>
      <c r="D392" t="str">
        <f t="shared" si="13"/>
        <v>Expense</v>
      </c>
    </row>
    <row r="393" spans="1:4" x14ac:dyDescent="0.25">
      <c r="A393" t="s">
        <v>65</v>
      </c>
      <c r="B393" t="s">
        <v>16</v>
      </c>
      <c r="C393" t="str">
        <f t="shared" si="12"/>
        <v>HOU-002</v>
      </c>
      <c r="D393" t="str">
        <f t="shared" si="13"/>
        <v>Expense</v>
      </c>
    </row>
    <row r="394" spans="1:4" x14ac:dyDescent="0.25">
      <c r="A394" t="s">
        <v>66</v>
      </c>
      <c r="B394" t="s">
        <v>19</v>
      </c>
      <c r="C394" t="str">
        <f t="shared" si="12"/>
        <v>LOA-009</v>
      </c>
      <c r="D394" t="str">
        <f t="shared" si="13"/>
        <v>Expense</v>
      </c>
    </row>
    <row r="395" spans="1:4" x14ac:dyDescent="0.25">
      <c r="A395" t="s">
        <v>64</v>
      </c>
      <c r="B395" t="s">
        <v>12</v>
      </c>
      <c r="C395" t="str">
        <f t="shared" si="12"/>
        <v>FOO-003</v>
      </c>
      <c r="D395" t="str">
        <f t="shared" si="13"/>
        <v>Expense</v>
      </c>
    </row>
    <row r="396" spans="1:4" x14ac:dyDescent="0.25">
      <c r="A396" t="s">
        <v>64</v>
      </c>
      <c r="B396" t="s">
        <v>12</v>
      </c>
      <c r="C396" t="str">
        <f t="shared" si="12"/>
        <v>FOO-003</v>
      </c>
      <c r="D396" t="str">
        <f t="shared" si="13"/>
        <v>Expense</v>
      </c>
    </row>
    <row r="397" spans="1:4" x14ac:dyDescent="0.25">
      <c r="A397" t="s">
        <v>64</v>
      </c>
      <c r="B397" t="s">
        <v>12</v>
      </c>
      <c r="C397" t="str">
        <f t="shared" si="12"/>
        <v>FOO-003</v>
      </c>
      <c r="D397" t="str">
        <f t="shared" si="13"/>
        <v>Expense</v>
      </c>
    </row>
    <row r="398" spans="1:4" x14ac:dyDescent="0.25">
      <c r="A398" t="s">
        <v>64</v>
      </c>
      <c r="B398" t="s">
        <v>12</v>
      </c>
      <c r="C398" t="str">
        <f t="shared" si="12"/>
        <v>FOO-003</v>
      </c>
      <c r="D398" t="str">
        <f t="shared" si="13"/>
        <v>Expense</v>
      </c>
    </row>
    <row r="399" spans="1:4" x14ac:dyDescent="0.25">
      <c r="A399" t="s">
        <v>64</v>
      </c>
      <c r="B399" t="s">
        <v>22</v>
      </c>
      <c r="C399" t="str">
        <f t="shared" si="12"/>
        <v>FOO-003</v>
      </c>
      <c r="D399" t="str">
        <f t="shared" si="13"/>
        <v>Expense</v>
      </c>
    </row>
    <row r="400" spans="1:4" x14ac:dyDescent="0.25">
      <c r="A400" t="s">
        <v>64</v>
      </c>
      <c r="B400" t="s">
        <v>24</v>
      </c>
      <c r="C400" t="str">
        <f t="shared" si="12"/>
        <v>FOO-003</v>
      </c>
      <c r="D400" t="str">
        <f t="shared" si="13"/>
        <v>Expense</v>
      </c>
    </row>
    <row r="401" spans="1:4" x14ac:dyDescent="0.25">
      <c r="A401" t="s">
        <v>64</v>
      </c>
      <c r="B401" t="s">
        <v>12</v>
      </c>
      <c r="C401" t="str">
        <f t="shared" si="12"/>
        <v>FOO-003</v>
      </c>
      <c r="D401" t="str">
        <f t="shared" si="13"/>
        <v>Expense</v>
      </c>
    </row>
    <row r="402" spans="1:4" x14ac:dyDescent="0.25">
      <c r="A402" t="s">
        <v>64</v>
      </c>
      <c r="B402" t="s">
        <v>12</v>
      </c>
      <c r="C402" t="str">
        <f t="shared" si="12"/>
        <v>FOO-003</v>
      </c>
      <c r="D402" t="str">
        <f t="shared" si="13"/>
        <v>Expense</v>
      </c>
    </row>
    <row r="403" spans="1:4" x14ac:dyDescent="0.25">
      <c r="A403" t="s">
        <v>68</v>
      </c>
      <c r="B403" t="s">
        <v>48</v>
      </c>
      <c r="C403" t="str">
        <f t="shared" si="12"/>
        <v>TRA-004</v>
      </c>
      <c r="D403" t="str">
        <f t="shared" si="13"/>
        <v>Expense</v>
      </c>
    </row>
    <row r="404" spans="1:4" x14ac:dyDescent="0.25">
      <c r="A404" t="s">
        <v>64</v>
      </c>
      <c r="B404" t="s">
        <v>12</v>
      </c>
      <c r="C404" t="str">
        <f t="shared" si="12"/>
        <v>FOO-003</v>
      </c>
      <c r="D404" t="str">
        <f t="shared" si="13"/>
        <v>Expense</v>
      </c>
    </row>
    <row r="405" spans="1:4" x14ac:dyDescent="0.25">
      <c r="A405" t="s">
        <v>64</v>
      </c>
      <c r="B405" t="s">
        <v>12</v>
      </c>
      <c r="C405" t="str">
        <f t="shared" si="12"/>
        <v>FOO-003</v>
      </c>
      <c r="D405" t="str">
        <f t="shared" si="13"/>
        <v>Expense</v>
      </c>
    </row>
    <row r="406" spans="1:4" x14ac:dyDescent="0.25">
      <c r="A406" t="s">
        <v>64</v>
      </c>
      <c r="B406" t="s">
        <v>22</v>
      </c>
      <c r="C406" t="str">
        <f t="shared" si="12"/>
        <v>FOO-003</v>
      </c>
      <c r="D406" t="str">
        <f t="shared" si="13"/>
        <v>Expense</v>
      </c>
    </row>
    <row r="407" spans="1:4" x14ac:dyDescent="0.25">
      <c r="A407" t="s">
        <v>64</v>
      </c>
      <c r="B407" t="s">
        <v>12</v>
      </c>
      <c r="C407" t="str">
        <f t="shared" si="12"/>
        <v>FOO-003</v>
      </c>
      <c r="D407" t="str">
        <f t="shared" si="13"/>
        <v>Expense</v>
      </c>
    </row>
    <row r="408" spans="1:4" x14ac:dyDescent="0.25">
      <c r="A408" t="s">
        <v>64</v>
      </c>
      <c r="B408" t="s">
        <v>12</v>
      </c>
      <c r="C408" t="str">
        <f t="shared" si="12"/>
        <v>FOO-003</v>
      </c>
      <c r="D408" t="str">
        <f t="shared" si="13"/>
        <v>Expense</v>
      </c>
    </row>
    <row r="409" spans="1:4" x14ac:dyDescent="0.25">
      <c r="A409" t="s">
        <v>27</v>
      </c>
      <c r="B409" t="s">
        <v>27</v>
      </c>
      <c r="C409" t="str">
        <f t="shared" si="12"/>
        <v>ENT-006</v>
      </c>
      <c r="D409" t="str">
        <f t="shared" si="13"/>
        <v>Expense</v>
      </c>
    </row>
    <row r="410" spans="1:4" x14ac:dyDescent="0.25">
      <c r="A410" t="s">
        <v>67</v>
      </c>
      <c r="B410" t="s">
        <v>30</v>
      </c>
      <c r="C410" t="str">
        <f t="shared" si="12"/>
        <v>PER-008</v>
      </c>
      <c r="D410" t="str">
        <f t="shared" si="13"/>
        <v>Expense</v>
      </c>
    </row>
    <row r="411" spans="1:4" x14ac:dyDescent="0.25">
      <c r="A411" t="s">
        <v>64</v>
      </c>
      <c r="B411" t="s">
        <v>32</v>
      </c>
      <c r="C411" t="str">
        <f t="shared" si="12"/>
        <v>FOO-003</v>
      </c>
      <c r="D411" t="str">
        <f t="shared" si="13"/>
        <v>Expense</v>
      </c>
    </row>
    <row r="412" spans="1:4" x14ac:dyDescent="0.25">
      <c r="A412" t="s">
        <v>68</v>
      </c>
      <c r="B412" t="s">
        <v>34</v>
      </c>
      <c r="C412" t="str">
        <f t="shared" si="12"/>
        <v>TRA-004</v>
      </c>
      <c r="D412" t="str">
        <f t="shared" si="13"/>
        <v>Expense</v>
      </c>
    </row>
    <row r="413" spans="1:4" x14ac:dyDescent="0.25">
      <c r="A413" t="s">
        <v>37</v>
      </c>
      <c r="B413" t="s">
        <v>36</v>
      </c>
      <c r="C413" t="str">
        <f t="shared" si="12"/>
        <v>PVE-010</v>
      </c>
      <c r="D413" t="str">
        <f t="shared" si="13"/>
        <v>Income</v>
      </c>
    </row>
    <row r="414" spans="1:4" x14ac:dyDescent="0.25">
      <c r="A414" t="s">
        <v>64</v>
      </c>
      <c r="B414" t="s">
        <v>12</v>
      </c>
      <c r="C414" t="str">
        <f t="shared" si="12"/>
        <v>FOO-003</v>
      </c>
      <c r="D414" t="str">
        <f t="shared" si="13"/>
        <v>Expense</v>
      </c>
    </row>
    <row r="415" spans="1:4" x14ac:dyDescent="0.25">
      <c r="A415" t="s">
        <v>64</v>
      </c>
      <c r="B415" t="s">
        <v>12</v>
      </c>
      <c r="C415" t="str">
        <f t="shared" si="12"/>
        <v>FOO-003</v>
      </c>
      <c r="D415" t="str">
        <f t="shared" si="13"/>
        <v>Expense</v>
      </c>
    </row>
    <row r="416" spans="1:4" x14ac:dyDescent="0.25">
      <c r="A416" t="s">
        <v>69</v>
      </c>
      <c r="B416" t="s">
        <v>39</v>
      </c>
      <c r="C416" t="str">
        <f t="shared" si="12"/>
        <v>UTI-005</v>
      </c>
      <c r="D416" t="str">
        <f t="shared" si="13"/>
        <v>Expense</v>
      </c>
    </row>
    <row r="417" spans="1:4" x14ac:dyDescent="0.25">
      <c r="A417" t="s">
        <v>67</v>
      </c>
      <c r="B417" t="s">
        <v>41</v>
      </c>
      <c r="C417" t="str">
        <f t="shared" si="12"/>
        <v>PER-008</v>
      </c>
      <c r="D417" t="str">
        <f t="shared" si="13"/>
        <v>Expense</v>
      </c>
    </row>
    <row r="418" spans="1:4" x14ac:dyDescent="0.25">
      <c r="A418" t="s">
        <v>27</v>
      </c>
      <c r="B418" t="s">
        <v>27</v>
      </c>
      <c r="C418" t="str">
        <f t="shared" si="12"/>
        <v>ENT-006</v>
      </c>
      <c r="D418" t="str">
        <f t="shared" si="13"/>
        <v>Expense</v>
      </c>
    </row>
    <row r="419" spans="1:4" x14ac:dyDescent="0.25">
      <c r="A419" t="s">
        <v>64</v>
      </c>
      <c r="B419" t="s">
        <v>12</v>
      </c>
      <c r="C419" t="str">
        <f t="shared" si="12"/>
        <v>FOO-003</v>
      </c>
      <c r="D419" t="str">
        <f t="shared" si="13"/>
        <v>Expense</v>
      </c>
    </row>
    <row r="420" spans="1:4" x14ac:dyDescent="0.25">
      <c r="A420" t="s">
        <v>64</v>
      </c>
      <c r="B420" t="s">
        <v>12</v>
      </c>
      <c r="C420" t="str">
        <f t="shared" si="12"/>
        <v>FOO-003</v>
      </c>
      <c r="D420" t="str">
        <f t="shared" si="13"/>
        <v>Expense</v>
      </c>
    </row>
    <row r="421" spans="1:4" x14ac:dyDescent="0.25">
      <c r="A421" t="s">
        <v>64</v>
      </c>
      <c r="B421" t="s">
        <v>12</v>
      </c>
      <c r="C421" t="str">
        <f t="shared" si="12"/>
        <v>FOO-003</v>
      </c>
      <c r="D421" t="str">
        <f t="shared" si="13"/>
        <v>Expense</v>
      </c>
    </row>
    <row r="422" spans="1:4" x14ac:dyDescent="0.25">
      <c r="A422" t="s">
        <v>64</v>
      </c>
      <c r="B422" t="s">
        <v>22</v>
      </c>
      <c r="C422" t="str">
        <f t="shared" si="12"/>
        <v>FOO-003</v>
      </c>
      <c r="D422" t="str">
        <f t="shared" si="13"/>
        <v>Expense</v>
      </c>
    </row>
    <row r="423" spans="1:4" x14ac:dyDescent="0.25">
      <c r="A423" t="s">
        <v>64</v>
      </c>
      <c r="B423" t="s">
        <v>32</v>
      </c>
      <c r="C423" t="str">
        <f t="shared" si="12"/>
        <v>FOO-003</v>
      </c>
      <c r="D423" t="str">
        <f t="shared" si="13"/>
        <v>Expense</v>
      </c>
    </row>
    <row r="424" spans="1:4" x14ac:dyDescent="0.25">
      <c r="A424" t="s">
        <v>64</v>
      </c>
      <c r="B424" t="s">
        <v>32</v>
      </c>
      <c r="C424" t="str">
        <f t="shared" si="12"/>
        <v>FOO-003</v>
      </c>
      <c r="D424" t="str">
        <f t="shared" si="13"/>
        <v>Expense</v>
      </c>
    </row>
    <row r="425" spans="1:4" x14ac:dyDescent="0.25">
      <c r="A425" t="s">
        <v>67</v>
      </c>
      <c r="B425" t="s">
        <v>46</v>
      </c>
      <c r="C425" t="str">
        <f t="shared" si="12"/>
        <v>PER-008</v>
      </c>
      <c r="D425" t="str">
        <f t="shared" si="13"/>
        <v>Expense</v>
      </c>
    </row>
    <row r="426" spans="1:4" x14ac:dyDescent="0.25">
      <c r="A426" t="s">
        <v>68</v>
      </c>
      <c r="B426" t="s">
        <v>48</v>
      </c>
      <c r="C426" t="str">
        <f t="shared" si="12"/>
        <v>TRA-004</v>
      </c>
      <c r="D426" t="str">
        <f t="shared" si="13"/>
        <v>Expense</v>
      </c>
    </row>
    <row r="427" spans="1:4" x14ac:dyDescent="0.25">
      <c r="A427" t="s">
        <v>64</v>
      </c>
      <c r="B427" t="s">
        <v>12</v>
      </c>
      <c r="C427" t="str">
        <f t="shared" si="12"/>
        <v>FOO-003</v>
      </c>
      <c r="D427" t="str">
        <f t="shared" si="13"/>
        <v>Expense</v>
      </c>
    </row>
    <row r="428" spans="1:4" x14ac:dyDescent="0.25">
      <c r="A428" t="s">
        <v>64</v>
      </c>
      <c r="B428" t="s">
        <v>12</v>
      </c>
      <c r="C428" t="str">
        <f t="shared" si="12"/>
        <v>FOO-003</v>
      </c>
      <c r="D428" t="str">
        <f t="shared" si="13"/>
        <v>Expense</v>
      </c>
    </row>
    <row r="429" spans="1:4" x14ac:dyDescent="0.25">
      <c r="A429" t="s">
        <v>64</v>
      </c>
      <c r="B429" t="s">
        <v>12</v>
      </c>
      <c r="C429" t="str">
        <f t="shared" si="12"/>
        <v>FOO-003</v>
      </c>
      <c r="D429" t="str">
        <f t="shared" si="13"/>
        <v>Expense</v>
      </c>
    </row>
    <row r="430" spans="1:4" x14ac:dyDescent="0.25">
      <c r="A430" t="s">
        <v>64</v>
      </c>
      <c r="B430" t="s">
        <v>12</v>
      </c>
      <c r="C430" t="str">
        <f t="shared" si="12"/>
        <v>FOO-003</v>
      </c>
      <c r="D430" t="str">
        <f t="shared" si="13"/>
        <v>Expense</v>
      </c>
    </row>
    <row r="431" spans="1:4" x14ac:dyDescent="0.25">
      <c r="A431" t="s">
        <v>64</v>
      </c>
      <c r="B431" t="s">
        <v>12</v>
      </c>
      <c r="C431" t="str">
        <f t="shared" si="12"/>
        <v>FOO-003</v>
      </c>
      <c r="D431" t="str">
        <f t="shared" si="13"/>
        <v>Expense</v>
      </c>
    </row>
    <row r="432" spans="1:4" x14ac:dyDescent="0.25">
      <c r="A432" t="s">
        <v>64</v>
      </c>
      <c r="B432" t="s">
        <v>22</v>
      </c>
      <c r="C432" t="str">
        <f t="shared" si="12"/>
        <v>FOO-003</v>
      </c>
      <c r="D432" t="str">
        <f t="shared" si="13"/>
        <v>Expense</v>
      </c>
    </row>
    <row r="433" spans="1:4" x14ac:dyDescent="0.25">
      <c r="A433" t="s">
        <v>67</v>
      </c>
      <c r="B433" t="s">
        <v>30</v>
      </c>
      <c r="C433" t="str">
        <f t="shared" si="12"/>
        <v>PER-008</v>
      </c>
      <c r="D433" t="str">
        <f t="shared" si="13"/>
        <v>Expense</v>
      </c>
    </row>
    <row r="434" spans="1:4" x14ac:dyDescent="0.25">
      <c r="A434" t="s">
        <v>67</v>
      </c>
      <c r="B434" t="s">
        <v>30</v>
      </c>
      <c r="C434" t="str">
        <f t="shared" si="12"/>
        <v>PER-008</v>
      </c>
      <c r="D434" t="str">
        <f t="shared" si="13"/>
        <v>Expense</v>
      </c>
    </row>
    <row r="435" spans="1:4" x14ac:dyDescent="0.25">
      <c r="A435" t="s">
        <v>67</v>
      </c>
      <c r="B435" t="s">
        <v>30</v>
      </c>
      <c r="C435" t="str">
        <f t="shared" si="12"/>
        <v>PER-008</v>
      </c>
      <c r="D435" t="str">
        <f t="shared" si="13"/>
        <v>Expense</v>
      </c>
    </row>
    <row r="436" spans="1:4" x14ac:dyDescent="0.25">
      <c r="A436" t="s">
        <v>68</v>
      </c>
      <c r="B436" t="s">
        <v>34</v>
      </c>
      <c r="C436" t="str">
        <f t="shared" si="12"/>
        <v>TRA-004</v>
      </c>
      <c r="D436" t="str">
        <f t="shared" si="13"/>
        <v>Expense</v>
      </c>
    </row>
    <row r="437" spans="1:4" x14ac:dyDescent="0.25">
      <c r="A437" t="s">
        <v>64</v>
      </c>
      <c r="B437" t="s">
        <v>32</v>
      </c>
      <c r="C437" t="str">
        <f t="shared" si="12"/>
        <v>FOO-003</v>
      </c>
      <c r="D437" t="str">
        <f t="shared" si="13"/>
        <v>Expense</v>
      </c>
    </row>
    <row r="438" spans="1:4" x14ac:dyDescent="0.25">
      <c r="A438" t="s">
        <v>64</v>
      </c>
      <c r="B438" t="s">
        <v>12</v>
      </c>
      <c r="C438" t="str">
        <f t="shared" si="12"/>
        <v>FOO-003</v>
      </c>
      <c r="D438" t="str">
        <f t="shared" si="13"/>
        <v>Expense</v>
      </c>
    </row>
    <row r="439" spans="1:4" x14ac:dyDescent="0.25">
      <c r="A439" t="s">
        <v>64</v>
      </c>
      <c r="B439" t="s">
        <v>12</v>
      </c>
      <c r="C439" t="str">
        <f t="shared" si="12"/>
        <v>FOO-003</v>
      </c>
      <c r="D439" t="str">
        <f t="shared" si="13"/>
        <v>Expense</v>
      </c>
    </row>
    <row r="440" spans="1:4" x14ac:dyDescent="0.25">
      <c r="A440" t="s">
        <v>9</v>
      </c>
      <c r="B440" t="s">
        <v>8</v>
      </c>
      <c r="C440" t="str">
        <f t="shared" si="12"/>
        <v>SAL-001</v>
      </c>
      <c r="D440" t="str">
        <f t="shared" si="13"/>
        <v>Income</v>
      </c>
    </row>
    <row r="441" spans="1:4" x14ac:dyDescent="0.25">
      <c r="A441" t="s">
        <v>64</v>
      </c>
      <c r="B441" t="s">
        <v>12</v>
      </c>
      <c r="C441" t="str">
        <f t="shared" si="12"/>
        <v>FOO-003</v>
      </c>
      <c r="D441" t="str">
        <f t="shared" si="13"/>
        <v>Expense</v>
      </c>
    </row>
    <row r="442" spans="1:4" x14ac:dyDescent="0.25">
      <c r="A442" t="s">
        <v>65</v>
      </c>
      <c r="B442" t="s">
        <v>16</v>
      </c>
      <c r="C442" t="str">
        <f t="shared" si="12"/>
        <v>HOU-002</v>
      </c>
      <c r="D442" t="str">
        <f t="shared" si="13"/>
        <v>Expense</v>
      </c>
    </row>
    <row r="443" spans="1:4" x14ac:dyDescent="0.25">
      <c r="A443" t="s">
        <v>66</v>
      </c>
      <c r="B443" t="s">
        <v>19</v>
      </c>
      <c r="C443" t="str">
        <f t="shared" si="12"/>
        <v>LOA-009</v>
      </c>
      <c r="D443" t="str">
        <f t="shared" si="13"/>
        <v>Expense</v>
      </c>
    </row>
    <row r="444" spans="1:4" x14ac:dyDescent="0.25">
      <c r="A444" t="s">
        <v>64</v>
      </c>
      <c r="B444" t="s">
        <v>12</v>
      </c>
      <c r="C444" t="str">
        <f t="shared" si="12"/>
        <v>FOO-003</v>
      </c>
      <c r="D444" t="str">
        <f t="shared" si="13"/>
        <v>Expense</v>
      </c>
    </row>
    <row r="445" spans="1:4" x14ac:dyDescent="0.25">
      <c r="A445" t="s">
        <v>64</v>
      </c>
      <c r="B445" t="s">
        <v>12</v>
      </c>
      <c r="C445" t="str">
        <f t="shared" si="12"/>
        <v>FOO-003</v>
      </c>
      <c r="D445" t="str">
        <f t="shared" si="13"/>
        <v>Expense</v>
      </c>
    </row>
    <row r="446" spans="1:4" x14ac:dyDescent="0.25">
      <c r="A446" t="s">
        <v>64</v>
      </c>
      <c r="B446" t="s">
        <v>12</v>
      </c>
      <c r="C446" t="str">
        <f t="shared" si="12"/>
        <v>FOO-003</v>
      </c>
      <c r="D446" t="str">
        <f t="shared" si="13"/>
        <v>Expense</v>
      </c>
    </row>
    <row r="447" spans="1:4" x14ac:dyDescent="0.25">
      <c r="A447" t="s">
        <v>64</v>
      </c>
      <c r="B447" t="s">
        <v>12</v>
      </c>
      <c r="C447" t="str">
        <f t="shared" si="12"/>
        <v>FOO-003</v>
      </c>
      <c r="D447" t="str">
        <f t="shared" si="13"/>
        <v>Expense</v>
      </c>
    </row>
    <row r="448" spans="1:4" x14ac:dyDescent="0.25">
      <c r="A448" t="s">
        <v>64</v>
      </c>
      <c r="B448" t="s">
        <v>22</v>
      </c>
      <c r="C448" t="str">
        <f t="shared" si="12"/>
        <v>FOO-003</v>
      </c>
      <c r="D448" t="str">
        <f t="shared" si="13"/>
        <v>Expense</v>
      </c>
    </row>
    <row r="449" spans="1:4" x14ac:dyDescent="0.25">
      <c r="A449" t="s">
        <v>64</v>
      </c>
      <c r="B449" t="s">
        <v>24</v>
      </c>
      <c r="C449" t="str">
        <f t="shared" si="12"/>
        <v>FOO-003</v>
      </c>
      <c r="D449" t="str">
        <f t="shared" si="13"/>
        <v>Expense</v>
      </c>
    </row>
    <row r="450" spans="1:4" x14ac:dyDescent="0.25">
      <c r="A450" t="s">
        <v>64</v>
      </c>
      <c r="B450" t="s">
        <v>12</v>
      </c>
      <c r="C450" t="str">
        <f t="shared" si="12"/>
        <v>FOO-003</v>
      </c>
      <c r="D450" t="str">
        <f t="shared" si="13"/>
        <v>Expense</v>
      </c>
    </row>
    <row r="451" spans="1:4" x14ac:dyDescent="0.25">
      <c r="A451" t="s">
        <v>64</v>
      </c>
      <c r="B451" t="s">
        <v>12</v>
      </c>
      <c r="C451" t="str">
        <f t="shared" ref="C451:C487" si="14">IF(A451="Salary","SAL-001",
IF(A451="Housing","HOU-002",
IF(A451="Food","FOO-003",
IF(A451="Transportation","TRA-004",
IF(A451="Utilities","UTI-005",
IF(A451="Entertainment","ENT-006",
IF(A451="Medical","MED-007",
IF(A451="Personal","PER-008",
IF(A451="Loan","LOA-009","PVE-010")))))))))</f>
        <v>FOO-003</v>
      </c>
      <c r="D451" t="str">
        <f t="shared" ref="D451:D487" si="15">IF(OR(A451="Salary",A451="Passive"),"Income","Expense")</f>
        <v>Expense</v>
      </c>
    </row>
    <row r="452" spans="1:4" x14ac:dyDescent="0.25">
      <c r="A452" t="s">
        <v>68</v>
      </c>
      <c r="B452" t="s">
        <v>48</v>
      </c>
      <c r="C452" t="str">
        <f t="shared" si="14"/>
        <v>TRA-004</v>
      </c>
      <c r="D452" t="str">
        <f t="shared" si="15"/>
        <v>Expense</v>
      </c>
    </row>
    <row r="453" spans="1:4" x14ac:dyDescent="0.25">
      <c r="A453" t="s">
        <v>64</v>
      </c>
      <c r="B453" t="s">
        <v>12</v>
      </c>
      <c r="C453" t="str">
        <f t="shared" si="14"/>
        <v>FOO-003</v>
      </c>
      <c r="D453" t="str">
        <f t="shared" si="15"/>
        <v>Expense</v>
      </c>
    </row>
    <row r="454" spans="1:4" x14ac:dyDescent="0.25">
      <c r="A454" t="s">
        <v>64</v>
      </c>
      <c r="B454" t="s">
        <v>12</v>
      </c>
      <c r="C454" t="str">
        <f t="shared" si="14"/>
        <v>FOO-003</v>
      </c>
      <c r="D454" t="str">
        <f t="shared" si="15"/>
        <v>Expense</v>
      </c>
    </row>
    <row r="455" spans="1:4" x14ac:dyDescent="0.25">
      <c r="A455" t="s">
        <v>64</v>
      </c>
      <c r="B455" t="s">
        <v>22</v>
      </c>
      <c r="C455" t="str">
        <f t="shared" si="14"/>
        <v>FOO-003</v>
      </c>
      <c r="D455" t="str">
        <f t="shared" si="15"/>
        <v>Expense</v>
      </c>
    </row>
    <row r="456" spans="1:4" x14ac:dyDescent="0.25">
      <c r="A456" t="s">
        <v>64</v>
      </c>
      <c r="B456" t="s">
        <v>12</v>
      </c>
      <c r="C456" t="str">
        <f t="shared" si="14"/>
        <v>FOO-003</v>
      </c>
      <c r="D456" t="str">
        <f t="shared" si="15"/>
        <v>Expense</v>
      </c>
    </row>
    <row r="457" spans="1:4" x14ac:dyDescent="0.25">
      <c r="A457" t="s">
        <v>64</v>
      </c>
      <c r="B457" t="s">
        <v>12</v>
      </c>
      <c r="C457" t="str">
        <f t="shared" si="14"/>
        <v>FOO-003</v>
      </c>
      <c r="D457" t="str">
        <f t="shared" si="15"/>
        <v>Expense</v>
      </c>
    </row>
    <row r="458" spans="1:4" x14ac:dyDescent="0.25">
      <c r="A458" t="s">
        <v>27</v>
      </c>
      <c r="B458" t="s">
        <v>27</v>
      </c>
      <c r="C458" t="str">
        <f t="shared" si="14"/>
        <v>ENT-006</v>
      </c>
      <c r="D458" t="str">
        <f t="shared" si="15"/>
        <v>Expense</v>
      </c>
    </row>
    <row r="459" spans="1:4" x14ac:dyDescent="0.25">
      <c r="A459" t="s">
        <v>67</v>
      </c>
      <c r="B459" t="s">
        <v>30</v>
      </c>
      <c r="C459" t="str">
        <f t="shared" si="14"/>
        <v>PER-008</v>
      </c>
      <c r="D459" t="str">
        <f t="shared" si="15"/>
        <v>Expense</v>
      </c>
    </row>
    <row r="460" spans="1:4" x14ac:dyDescent="0.25">
      <c r="A460" t="s">
        <v>64</v>
      </c>
      <c r="B460" t="s">
        <v>32</v>
      </c>
      <c r="C460" t="str">
        <f t="shared" si="14"/>
        <v>FOO-003</v>
      </c>
      <c r="D460" t="str">
        <f t="shared" si="15"/>
        <v>Expense</v>
      </c>
    </row>
    <row r="461" spans="1:4" x14ac:dyDescent="0.25">
      <c r="A461" t="s">
        <v>68</v>
      </c>
      <c r="B461" t="s">
        <v>34</v>
      </c>
      <c r="C461" t="str">
        <f t="shared" si="14"/>
        <v>TRA-004</v>
      </c>
      <c r="D461" t="str">
        <f t="shared" si="15"/>
        <v>Expense</v>
      </c>
    </row>
    <row r="462" spans="1:4" x14ac:dyDescent="0.25">
      <c r="A462" t="s">
        <v>37</v>
      </c>
      <c r="B462" t="s">
        <v>36</v>
      </c>
      <c r="C462" t="str">
        <f t="shared" si="14"/>
        <v>PVE-010</v>
      </c>
      <c r="D462" t="str">
        <f t="shared" si="15"/>
        <v>Income</v>
      </c>
    </row>
    <row r="463" spans="1:4" x14ac:dyDescent="0.25">
      <c r="A463" t="s">
        <v>64</v>
      </c>
      <c r="B463" t="s">
        <v>12</v>
      </c>
      <c r="C463" t="str">
        <f t="shared" si="14"/>
        <v>FOO-003</v>
      </c>
      <c r="D463" t="str">
        <f t="shared" si="15"/>
        <v>Expense</v>
      </c>
    </row>
    <row r="464" spans="1:4" x14ac:dyDescent="0.25">
      <c r="A464" t="s">
        <v>64</v>
      </c>
      <c r="B464" t="s">
        <v>12</v>
      </c>
      <c r="C464" t="str">
        <f t="shared" si="14"/>
        <v>FOO-003</v>
      </c>
      <c r="D464" t="str">
        <f t="shared" si="15"/>
        <v>Expense</v>
      </c>
    </row>
    <row r="465" spans="1:4" x14ac:dyDescent="0.25">
      <c r="A465" t="s">
        <v>54</v>
      </c>
      <c r="B465" t="s">
        <v>53</v>
      </c>
      <c r="C465" t="str">
        <f t="shared" si="14"/>
        <v>MED-007</v>
      </c>
      <c r="D465" t="str">
        <f t="shared" si="15"/>
        <v>Expense</v>
      </c>
    </row>
    <row r="466" spans="1:4" x14ac:dyDescent="0.25">
      <c r="A466" t="s">
        <v>69</v>
      </c>
      <c r="B466" t="s">
        <v>39</v>
      </c>
      <c r="C466" t="str">
        <f t="shared" si="14"/>
        <v>UTI-005</v>
      </c>
      <c r="D466" t="str">
        <f t="shared" si="15"/>
        <v>Expense</v>
      </c>
    </row>
    <row r="467" spans="1:4" x14ac:dyDescent="0.25">
      <c r="A467" t="s">
        <v>67</v>
      </c>
      <c r="B467" t="s">
        <v>41</v>
      </c>
      <c r="C467" t="str">
        <f t="shared" si="14"/>
        <v>PER-008</v>
      </c>
      <c r="D467" t="str">
        <f t="shared" si="15"/>
        <v>Expense</v>
      </c>
    </row>
    <row r="468" spans="1:4" x14ac:dyDescent="0.25">
      <c r="A468" t="s">
        <v>27</v>
      </c>
      <c r="B468" t="s">
        <v>27</v>
      </c>
      <c r="C468" t="str">
        <f t="shared" si="14"/>
        <v>ENT-006</v>
      </c>
      <c r="D468" t="str">
        <f t="shared" si="15"/>
        <v>Expense</v>
      </c>
    </row>
    <row r="469" spans="1:4" x14ac:dyDescent="0.25">
      <c r="A469" t="s">
        <v>64</v>
      </c>
      <c r="B469" t="s">
        <v>12</v>
      </c>
      <c r="C469" t="str">
        <f t="shared" si="14"/>
        <v>FOO-003</v>
      </c>
      <c r="D469" t="str">
        <f t="shared" si="15"/>
        <v>Expense</v>
      </c>
    </row>
    <row r="470" spans="1:4" x14ac:dyDescent="0.25">
      <c r="A470" t="s">
        <v>64</v>
      </c>
      <c r="B470" t="s">
        <v>12</v>
      </c>
      <c r="C470" t="str">
        <f t="shared" si="14"/>
        <v>FOO-003</v>
      </c>
      <c r="D470" t="str">
        <f t="shared" si="15"/>
        <v>Expense</v>
      </c>
    </row>
    <row r="471" spans="1:4" x14ac:dyDescent="0.25">
      <c r="A471" t="s">
        <v>64</v>
      </c>
      <c r="B471" t="s">
        <v>12</v>
      </c>
      <c r="C471" t="str">
        <f t="shared" si="14"/>
        <v>FOO-003</v>
      </c>
      <c r="D471" t="str">
        <f t="shared" si="15"/>
        <v>Expense</v>
      </c>
    </row>
    <row r="472" spans="1:4" x14ac:dyDescent="0.25">
      <c r="A472" t="s">
        <v>64</v>
      </c>
      <c r="B472" t="s">
        <v>22</v>
      </c>
      <c r="C472" t="str">
        <f t="shared" si="14"/>
        <v>FOO-003</v>
      </c>
      <c r="D472" t="str">
        <f t="shared" si="15"/>
        <v>Expense</v>
      </c>
    </row>
    <row r="473" spans="1:4" x14ac:dyDescent="0.25">
      <c r="A473" t="s">
        <v>64</v>
      </c>
      <c r="B473" t="s">
        <v>32</v>
      </c>
      <c r="C473" t="str">
        <f t="shared" si="14"/>
        <v>FOO-003</v>
      </c>
      <c r="D473" t="str">
        <f t="shared" si="15"/>
        <v>Expense</v>
      </c>
    </row>
    <row r="474" spans="1:4" x14ac:dyDescent="0.25">
      <c r="A474" t="s">
        <v>64</v>
      </c>
      <c r="B474" t="s">
        <v>32</v>
      </c>
      <c r="C474" t="str">
        <f t="shared" si="14"/>
        <v>FOO-003</v>
      </c>
      <c r="D474" t="str">
        <f t="shared" si="15"/>
        <v>Expense</v>
      </c>
    </row>
    <row r="475" spans="1:4" x14ac:dyDescent="0.25">
      <c r="A475" t="s">
        <v>67</v>
      </c>
      <c r="B475" t="s">
        <v>46</v>
      </c>
      <c r="C475" t="str">
        <f t="shared" si="14"/>
        <v>PER-008</v>
      </c>
      <c r="D475" t="str">
        <f t="shared" si="15"/>
        <v>Expense</v>
      </c>
    </row>
    <row r="476" spans="1:4" x14ac:dyDescent="0.25">
      <c r="A476" t="s">
        <v>68</v>
      </c>
      <c r="B476" t="s">
        <v>48</v>
      </c>
      <c r="C476" t="str">
        <f t="shared" si="14"/>
        <v>TRA-004</v>
      </c>
      <c r="D476" t="str">
        <f t="shared" si="15"/>
        <v>Expense</v>
      </c>
    </row>
    <row r="477" spans="1:4" x14ac:dyDescent="0.25">
      <c r="A477" t="s">
        <v>64</v>
      </c>
      <c r="B477" t="s">
        <v>12</v>
      </c>
      <c r="C477" t="str">
        <f t="shared" si="14"/>
        <v>FOO-003</v>
      </c>
      <c r="D477" t="str">
        <f t="shared" si="15"/>
        <v>Expense</v>
      </c>
    </row>
    <row r="478" spans="1:4" x14ac:dyDescent="0.25">
      <c r="A478" t="s">
        <v>64</v>
      </c>
      <c r="B478" t="s">
        <v>12</v>
      </c>
      <c r="C478" t="str">
        <f t="shared" si="14"/>
        <v>FOO-003</v>
      </c>
      <c r="D478" t="str">
        <f t="shared" si="15"/>
        <v>Expense</v>
      </c>
    </row>
    <row r="479" spans="1:4" x14ac:dyDescent="0.25">
      <c r="A479" t="s">
        <v>64</v>
      </c>
      <c r="B479" t="s">
        <v>12</v>
      </c>
      <c r="C479" t="str">
        <f t="shared" si="14"/>
        <v>FOO-003</v>
      </c>
      <c r="D479" t="str">
        <f t="shared" si="15"/>
        <v>Expense</v>
      </c>
    </row>
    <row r="480" spans="1:4" x14ac:dyDescent="0.25">
      <c r="A480" t="s">
        <v>64</v>
      </c>
      <c r="B480" t="s">
        <v>12</v>
      </c>
      <c r="C480" t="str">
        <f t="shared" si="14"/>
        <v>FOO-003</v>
      </c>
      <c r="D480" t="str">
        <f t="shared" si="15"/>
        <v>Expense</v>
      </c>
    </row>
    <row r="481" spans="1:4" x14ac:dyDescent="0.25">
      <c r="A481" t="s">
        <v>64</v>
      </c>
      <c r="B481" t="s">
        <v>12</v>
      </c>
      <c r="C481" t="str">
        <f t="shared" si="14"/>
        <v>FOO-003</v>
      </c>
      <c r="D481" t="str">
        <f t="shared" si="15"/>
        <v>Expense</v>
      </c>
    </row>
    <row r="482" spans="1:4" x14ac:dyDescent="0.25">
      <c r="A482" t="s">
        <v>64</v>
      </c>
      <c r="B482" t="s">
        <v>22</v>
      </c>
      <c r="C482" t="str">
        <f t="shared" si="14"/>
        <v>FOO-003</v>
      </c>
      <c r="D482" t="str">
        <f t="shared" si="15"/>
        <v>Expense</v>
      </c>
    </row>
    <row r="483" spans="1:4" x14ac:dyDescent="0.25">
      <c r="A483" t="s">
        <v>67</v>
      </c>
      <c r="B483" t="s">
        <v>30</v>
      </c>
      <c r="C483" t="str">
        <f t="shared" si="14"/>
        <v>PER-008</v>
      </c>
      <c r="D483" t="str">
        <f t="shared" si="15"/>
        <v>Expense</v>
      </c>
    </row>
    <row r="484" spans="1:4" x14ac:dyDescent="0.25">
      <c r="A484" t="s">
        <v>27</v>
      </c>
      <c r="B484" t="s">
        <v>27</v>
      </c>
      <c r="C484" t="str">
        <f t="shared" si="14"/>
        <v>ENT-006</v>
      </c>
      <c r="D484" t="str">
        <f t="shared" si="15"/>
        <v>Expense</v>
      </c>
    </row>
    <row r="485" spans="1:4" x14ac:dyDescent="0.25">
      <c r="A485" t="s">
        <v>67</v>
      </c>
      <c r="B485" t="s">
        <v>30</v>
      </c>
      <c r="C485" t="str">
        <f t="shared" si="14"/>
        <v>PER-008</v>
      </c>
      <c r="D485" t="str">
        <f t="shared" si="15"/>
        <v>Expense</v>
      </c>
    </row>
    <row r="486" spans="1:4" x14ac:dyDescent="0.25">
      <c r="A486" t="s">
        <v>68</v>
      </c>
      <c r="B486" t="s">
        <v>34</v>
      </c>
      <c r="C486" t="str">
        <f t="shared" si="14"/>
        <v>TRA-004</v>
      </c>
      <c r="D486" t="str">
        <f t="shared" si="15"/>
        <v>Expense</v>
      </c>
    </row>
    <row r="487" spans="1:4" x14ac:dyDescent="0.25">
      <c r="A487" t="s">
        <v>64</v>
      </c>
      <c r="B487" t="s">
        <v>32</v>
      </c>
      <c r="C487" t="str">
        <f t="shared" si="14"/>
        <v>FOO-003</v>
      </c>
      <c r="D487" t="str">
        <f t="shared" si="15"/>
        <v>Expense</v>
      </c>
    </row>
  </sheetData>
  <autoFilter ref="A1:D487" xr:uid="{61FD0202-4CB1-4DA1-9917-976C9354008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E485-6681-4149-A559-659124C964F1}">
  <dimension ref="A1:C487"/>
  <sheetViews>
    <sheetView workbookViewId="0">
      <selection activeCell="D6" sqref="D6"/>
    </sheetView>
  </sheetViews>
  <sheetFormatPr defaultRowHeight="15" x14ac:dyDescent="0.25"/>
  <cols>
    <col min="1" max="1" width="10.42578125" style="23" bestFit="1" customWidth="1"/>
    <col min="2" max="2" width="11.7109375" bestFit="1" customWidth="1"/>
  </cols>
  <sheetData>
    <row r="1" spans="1:3" x14ac:dyDescent="0.25">
      <c r="A1" s="23" t="s">
        <v>0</v>
      </c>
      <c r="B1" t="s">
        <v>95</v>
      </c>
      <c r="C1" t="s">
        <v>63</v>
      </c>
    </row>
    <row r="2" spans="1:3" x14ac:dyDescent="0.25">
      <c r="A2" s="23">
        <v>44200</v>
      </c>
      <c r="B2" t="str">
        <f>VLOOKUP('Clean data'!F:F,Dim_table!A:C,3,FALSE)</f>
        <v>SAL-001</v>
      </c>
      <c r="C2">
        <v>5000</v>
      </c>
    </row>
    <row r="3" spans="1:3" x14ac:dyDescent="0.25">
      <c r="A3" s="23">
        <v>44200</v>
      </c>
      <c r="B3" t="str">
        <f>VLOOKUP('Clean data'!F:F,Dim_table!A:C,3,FALSE)</f>
        <v>FOO-003</v>
      </c>
      <c r="C3">
        <v>-5</v>
      </c>
    </row>
    <row r="4" spans="1:3" x14ac:dyDescent="0.25">
      <c r="A4" s="23">
        <v>44201</v>
      </c>
      <c r="B4" t="str">
        <f>VLOOKUP('Clean data'!F:F,Dim_table!A:C,3,FALSE)</f>
        <v>HOU-002</v>
      </c>
      <c r="C4">
        <v>-900</v>
      </c>
    </row>
    <row r="5" spans="1:3" x14ac:dyDescent="0.25">
      <c r="A5" s="23">
        <v>44201</v>
      </c>
      <c r="B5" t="str">
        <f>VLOOKUP('Clean data'!F:F,Dim_table!A:C,3,FALSE)</f>
        <v>LOA-009</v>
      </c>
      <c r="C5">
        <v>-150</v>
      </c>
    </row>
    <row r="6" spans="1:3" x14ac:dyDescent="0.25">
      <c r="A6" s="23">
        <v>44201</v>
      </c>
      <c r="B6" t="str">
        <f>VLOOKUP('Clean data'!F:F,Dim_table!A:C,3,FALSE)</f>
        <v>FOO-003</v>
      </c>
      <c r="C6">
        <v>-5</v>
      </c>
    </row>
    <row r="7" spans="1:3" x14ac:dyDescent="0.25">
      <c r="A7" s="23">
        <v>44202</v>
      </c>
      <c r="B7" t="str">
        <f>VLOOKUP('Clean data'!F:F,Dim_table!A:C,3,FALSE)</f>
        <v>FOO-003</v>
      </c>
      <c r="C7">
        <v>-5</v>
      </c>
    </row>
    <row r="8" spans="1:3" x14ac:dyDescent="0.25">
      <c r="A8" s="23">
        <v>44203</v>
      </c>
      <c r="B8" t="str">
        <f>VLOOKUP('Clean data'!F:F,Dim_table!A:C,3,FALSE)</f>
        <v>FOO-003</v>
      </c>
      <c r="C8">
        <v>-5</v>
      </c>
    </row>
    <row r="9" spans="1:3" x14ac:dyDescent="0.25">
      <c r="A9" s="23">
        <v>44204</v>
      </c>
      <c r="B9" t="str">
        <f>VLOOKUP('Clean data'!F:F,Dim_table!A:C,3,FALSE)</f>
        <v>FOO-003</v>
      </c>
      <c r="C9">
        <v>-5</v>
      </c>
    </row>
    <row r="10" spans="1:3" x14ac:dyDescent="0.25">
      <c r="A10" s="23">
        <v>44204</v>
      </c>
      <c r="B10" t="str">
        <f>VLOOKUP('Clean data'!F:F,Dim_table!A:C,3,FALSE)</f>
        <v>FOO-003</v>
      </c>
      <c r="C10">
        <v>-155</v>
      </c>
    </row>
    <row r="11" spans="1:3" x14ac:dyDescent="0.25">
      <c r="A11" s="23">
        <v>44207</v>
      </c>
      <c r="B11" t="str">
        <f>VLOOKUP('Clean data'!F:F,Dim_table!A:C,3,FALSE)</f>
        <v>FOO-003</v>
      </c>
      <c r="C11">
        <v>-50</v>
      </c>
    </row>
    <row r="12" spans="1:3" x14ac:dyDescent="0.25">
      <c r="A12" s="23">
        <v>44207</v>
      </c>
      <c r="B12" t="str">
        <f>VLOOKUP('Clean data'!F:F,Dim_table!A:C,3,FALSE)</f>
        <v>FOO-003</v>
      </c>
      <c r="C12">
        <v>-5</v>
      </c>
    </row>
    <row r="13" spans="1:3" x14ac:dyDescent="0.25">
      <c r="A13" s="23">
        <v>44208</v>
      </c>
      <c r="B13" t="str">
        <f>VLOOKUP('Clean data'!F:F,Dim_table!A:C,3,FALSE)</f>
        <v>FOO-003</v>
      </c>
      <c r="C13">
        <v>-5</v>
      </c>
    </row>
    <row r="14" spans="1:3" x14ac:dyDescent="0.25">
      <c r="A14" s="23">
        <v>44209</v>
      </c>
      <c r="B14" t="str">
        <f>VLOOKUP('Clean data'!F:F,Dim_table!A:C,3,FALSE)</f>
        <v>FOO-003</v>
      </c>
      <c r="C14">
        <v>-77</v>
      </c>
    </row>
    <row r="15" spans="1:3" x14ac:dyDescent="0.25">
      <c r="A15" s="23">
        <v>44209</v>
      </c>
      <c r="B15" t="str">
        <f>VLOOKUP('Clean data'!F:F,Dim_table!A:C,3,FALSE)</f>
        <v>FOO-003</v>
      </c>
      <c r="C15">
        <v>-5</v>
      </c>
    </row>
    <row r="16" spans="1:3" x14ac:dyDescent="0.25">
      <c r="A16" s="23">
        <v>44210</v>
      </c>
      <c r="B16" t="str">
        <f>VLOOKUP('Clean data'!F:F,Dim_table!A:C,3,FALSE)</f>
        <v>FOO-003</v>
      </c>
      <c r="C16">
        <v>-5</v>
      </c>
    </row>
    <row r="17" spans="1:3" x14ac:dyDescent="0.25">
      <c r="A17" s="23">
        <v>44211</v>
      </c>
      <c r="B17" t="str">
        <f>VLOOKUP('Clean data'!F:F,Dim_table!A:C,3,FALSE)</f>
        <v>FOO-003</v>
      </c>
      <c r="C17">
        <v>-135</v>
      </c>
    </row>
    <row r="18" spans="1:3" x14ac:dyDescent="0.25">
      <c r="A18" s="23">
        <v>44211</v>
      </c>
      <c r="B18" t="str">
        <f>VLOOKUP('Clean data'!F:F,Dim_table!A:C,3,FALSE)</f>
        <v>FOO-003</v>
      </c>
      <c r="C18">
        <v>-5</v>
      </c>
    </row>
    <row r="19" spans="1:3" x14ac:dyDescent="0.25">
      <c r="A19" s="23">
        <v>44212</v>
      </c>
      <c r="B19" t="str">
        <f>VLOOKUP('Clean data'!F:F,Dim_table!A:C,3,FALSE)</f>
        <v>FOO-003</v>
      </c>
      <c r="C19">
        <v>-5</v>
      </c>
    </row>
    <row r="20" spans="1:3" x14ac:dyDescent="0.25">
      <c r="A20" s="23">
        <v>44212</v>
      </c>
      <c r="B20" t="str">
        <f>VLOOKUP('Clean data'!F:F,Dim_table!A:C,3,FALSE)</f>
        <v>ENT-006</v>
      </c>
      <c r="C20">
        <v>-40</v>
      </c>
    </row>
    <row r="21" spans="1:3" x14ac:dyDescent="0.25">
      <c r="A21" s="23">
        <v>44212</v>
      </c>
      <c r="B21" t="str">
        <f>VLOOKUP('Clean data'!F:F,Dim_table!A:C,3,FALSE)</f>
        <v>PER-008</v>
      </c>
      <c r="C21">
        <v>-98</v>
      </c>
    </row>
    <row r="22" spans="1:3" x14ac:dyDescent="0.25">
      <c r="A22" s="23">
        <v>44212</v>
      </c>
      <c r="B22" t="str">
        <f>VLOOKUP('Clean data'!F:F,Dim_table!A:C,3,FALSE)</f>
        <v>FOO-003</v>
      </c>
      <c r="C22">
        <v>-52</v>
      </c>
    </row>
    <row r="23" spans="1:3" x14ac:dyDescent="0.25">
      <c r="A23" s="23">
        <v>44213</v>
      </c>
      <c r="B23" t="str">
        <f>VLOOKUP('Clean data'!F:F,Dim_table!A:C,3,FALSE)</f>
        <v>TRA-004</v>
      </c>
      <c r="C23">
        <v>-28</v>
      </c>
    </row>
    <row r="24" spans="1:3" x14ac:dyDescent="0.25">
      <c r="A24" s="23">
        <v>44214</v>
      </c>
      <c r="B24" t="str">
        <f>VLOOKUP('Clean data'!F:F,Dim_table!A:C,3,FALSE)</f>
        <v>PVE-010</v>
      </c>
      <c r="C24">
        <v>4500</v>
      </c>
    </row>
    <row r="25" spans="1:3" x14ac:dyDescent="0.25">
      <c r="A25" s="23">
        <v>44214</v>
      </c>
      <c r="B25" t="str">
        <f>VLOOKUP('Clean data'!F:F,Dim_table!A:C,3,FALSE)</f>
        <v>FOO-003</v>
      </c>
      <c r="C25">
        <v>-5</v>
      </c>
    </row>
    <row r="26" spans="1:3" x14ac:dyDescent="0.25">
      <c r="A26" s="23">
        <v>44215</v>
      </c>
      <c r="B26" t="str">
        <f>VLOOKUP('Clean data'!F:F,Dim_table!A:C,3,FALSE)</f>
        <v>FOO-003</v>
      </c>
      <c r="C26">
        <v>-5</v>
      </c>
    </row>
    <row r="27" spans="1:3" x14ac:dyDescent="0.25">
      <c r="A27" s="23">
        <v>44215</v>
      </c>
      <c r="B27" t="str">
        <f>VLOOKUP('Clean data'!F:F,Dim_table!A:C,3,FALSE)</f>
        <v>PVE-010</v>
      </c>
      <c r="C27">
        <v>4500</v>
      </c>
    </row>
    <row r="28" spans="1:3" x14ac:dyDescent="0.25">
      <c r="A28" s="23">
        <v>44215</v>
      </c>
      <c r="B28" t="str">
        <f>VLOOKUP('Clean data'!F:F,Dim_table!A:C,3,FALSE)</f>
        <v>UTI-005</v>
      </c>
      <c r="C28">
        <v>-40</v>
      </c>
    </row>
    <row r="29" spans="1:3" x14ac:dyDescent="0.25">
      <c r="A29" s="23">
        <v>44216</v>
      </c>
      <c r="B29" t="str">
        <f>VLOOKUP('Clean data'!F:F,Dim_table!A:C,3,FALSE)</f>
        <v>PER-008</v>
      </c>
      <c r="C29">
        <v>-45</v>
      </c>
    </row>
    <row r="30" spans="1:3" x14ac:dyDescent="0.25">
      <c r="A30" s="23">
        <v>44216</v>
      </c>
      <c r="B30" t="str">
        <f>VLOOKUP('Clean data'!F:F,Dim_table!A:C,3,FALSE)</f>
        <v>ENT-006</v>
      </c>
      <c r="C30">
        <v>-32</v>
      </c>
    </row>
    <row r="31" spans="1:3" x14ac:dyDescent="0.25">
      <c r="A31" s="23">
        <v>44216</v>
      </c>
      <c r="B31" t="str">
        <f>VLOOKUP('Clean data'!F:F,Dim_table!A:C,3,FALSE)</f>
        <v>FOO-003</v>
      </c>
      <c r="C31">
        <v>-5</v>
      </c>
    </row>
    <row r="32" spans="1:3" x14ac:dyDescent="0.25">
      <c r="A32" s="23">
        <v>44217</v>
      </c>
      <c r="B32" t="str">
        <f>VLOOKUP('Clean data'!F:F,Dim_table!A:C,3,FALSE)</f>
        <v>FOO-003</v>
      </c>
      <c r="C32">
        <v>-5</v>
      </c>
    </row>
    <row r="33" spans="1:3" x14ac:dyDescent="0.25">
      <c r="A33" s="23">
        <v>44218</v>
      </c>
      <c r="B33" t="str">
        <f>VLOOKUP('Clean data'!F:F,Dim_table!A:C,3,FALSE)</f>
        <v>FOO-003</v>
      </c>
      <c r="C33">
        <v>-5</v>
      </c>
    </row>
    <row r="34" spans="1:3" x14ac:dyDescent="0.25">
      <c r="A34" s="23">
        <v>44218</v>
      </c>
      <c r="B34" t="str">
        <f>VLOOKUP('Clean data'!F:F,Dim_table!A:C,3,FALSE)</f>
        <v>FOO-003</v>
      </c>
      <c r="C34">
        <v>-170</v>
      </c>
    </row>
    <row r="35" spans="1:3" x14ac:dyDescent="0.25">
      <c r="A35" s="23">
        <v>44219</v>
      </c>
      <c r="B35" t="str">
        <f>VLOOKUP('Clean data'!F:F,Dim_table!A:C,3,FALSE)</f>
        <v>FOO-003</v>
      </c>
      <c r="C35">
        <v>-37</v>
      </c>
    </row>
    <row r="36" spans="1:3" x14ac:dyDescent="0.25">
      <c r="A36" s="23">
        <v>44220</v>
      </c>
      <c r="B36" t="str">
        <f>VLOOKUP('Clean data'!F:F,Dim_table!A:C,3,FALSE)</f>
        <v>FOO-003</v>
      </c>
      <c r="C36">
        <v>-12</v>
      </c>
    </row>
    <row r="37" spans="1:3" x14ac:dyDescent="0.25">
      <c r="A37" s="23">
        <v>44221</v>
      </c>
      <c r="B37" t="str">
        <f>VLOOKUP('Clean data'!F:F,Dim_table!A:C,3,FALSE)</f>
        <v>PER-008</v>
      </c>
      <c r="C37">
        <v>-55</v>
      </c>
    </row>
    <row r="38" spans="1:3" x14ac:dyDescent="0.25">
      <c r="A38" s="23">
        <v>44221</v>
      </c>
      <c r="B38" t="str">
        <f>VLOOKUP('Clean data'!F:F,Dim_table!A:C,3,FALSE)</f>
        <v>TRA-004</v>
      </c>
      <c r="C38">
        <v>-63</v>
      </c>
    </row>
    <row r="39" spans="1:3" x14ac:dyDescent="0.25">
      <c r="A39" s="23">
        <v>44221</v>
      </c>
      <c r="B39" t="str">
        <f>VLOOKUP('Clean data'!F:F,Dim_table!A:C,3,FALSE)</f>
        <v>FOO-003</v>
      </c>
      <c r="C39">
        <v>-5</v>
      </c>
    </row>
    <row r="40" spans="1:3" x14ac:dyDescent="0.25">
      <c r="A40" s="23">
        <v>44222</v>
      </c>
      <c r="B40" t="str">
        <f>VLOOKUP('Clean data'!F:F,Dim_table!A:C,3,FALSE)</f>
        <v>FOO-003</v>
      </c>
      <c r="C40">
        <v>-5</v>
      </c>
    </row>
    <row r="41" spans="1:3" x14ac:dyDescent="0.25">
      <c r="A41" s="23">
        <v>44223</v>
      </c>
      <c r="B41" t="str">
        <f>VLOOKUP('Clean data'!F:F,Dim_table!A:C,3,FALSE)</f>
        <v>FOO-003</v>
      </c>
      <c r="C41">
        <v>-5</v>
      </c>
    </row>
    <row r="42" spans="1:3" x14ac:dyDescent="0.25">
      <c r="A42" s="23">
        <v>44224</v>
      </c>
      <c r="B42" t="str">
        <f>VLOOKUP('Clean data'!F:F,Dim_table!A:C,3,FALSE)</f>
        <v>FOO-003</v>
      </c>
      <c r="C42">
        <v>-5</v>
      </c>
    </row>
    <row r="43" spans="1:3" x14ac:dyDescent="0.25">
      <c r="A43" s="23">
        <v>44225</v>
      </c>
      <c r="B43" t="str">
        <f>VLOOKUP('Clean data'!F:F,Dim_table!A:C,3,FALSE)</f>
        <v>FOO-003</v>
      </c>
      <c r="C43">
        <v>-5</v>
      </c>
    </row>
    <row r="44" spans="1:3" x14ac:dyDescent="0.25">
      <c r="A44" s="23">
        <v>44225</v>
      </c>
      <c r="B44" t="str">
        <f>VLOOKUP('Clean data'!F:F,Dim_table!A:C,3,FALSE)</f>
        <v>FOO-003</v>
      </c>
      <c r="C44">
        <v>-162</v>
      </c>
    </row>
    <row r="45" spans="1:3" x14ac:dyDescent="0.25">
      <c r="A45" s="23">
        <v>44226</v>
      </c>
      <c r="B45" t="str">
        <f>VLOOKUP('Clean data'!F:F,Dim_table!A:C,3,FALSE)</f>
        <v>PER-008</v>
      </c>
      <c r="C45">
        <v>-125</v>
      </c>
    </row>
    <row r="46" spans="1:3" x14ac:dyDescent="0.25">
      <c r="A46" s="23">
        <v>44226</v>
      </c>
      <c r="B46" t="str">
        <f>VLOOKUP('Clean data'!F:F,Dim_table!A:C,3,FALSE)</f>
        <v>ENT-006</v>
      </c>
      <c r="C46">
        <v>-175</v>
      </c>
    </row>
    <row r="47" spans="1:3" x14ac:dyDescent="0.25">
      <c r="A47" s="23">
        <v>44227</v>
      </c>
      <c r="B47" t="str">
        <f>VLOOKUP('Clean data'!F:F,Dim_table!A:C,3,FALSE)</f>
        <v>PER-008</v>
      </c>
      <c r="C47">
        <v>-145</v>
      </c>
    </row>
    <row r="48" spans="1:3" x14ac:dyDescent="0.25">
      <c r="A48" s="23">
        <v>44227</v>
      </c>
      <c r="B48" t="str">
        <f>VLOOKUP('Clean data'!F:F,Dim_table!A:C,3,FALSE)</f>
        <v>TRA-004</v>
      </c>
      <c r="C48">
        <v>-23</v>
      </c>
    </row>
    <row r="49" spans="1:3" x14ac:dyDescent="0.25">
      <c r="A49" s="23">
        <v>44228</v>
      </c>
      <c r="B49" t="str">
        <f>VLOOKUP('Clean data'!F:F,Dim_table!A:C,3,FALSE)</f>
        <v>SAL-001</v>
      </c>
      <c r="C49">
        <v>5000</v>
      </c>
    </row>
    <row r="50" spans="1:3" x14ac:dyDescent="0.25">
      <c r="A50" s="23">
        <v>44228</v>
      </c>
      <c r="B50" t="str">
        <f>VLOOKUP('Clean data'!F:F,Dim_table!A:C,3,FALSE)</f>
        <v>FOO-003</v>
      </c>
      <c r="C50">
        <v>-5</v>
      </c>
    </row>
    <row r="51" spans="1:3" x14ac:dyDescent="0.25">
      <c r="A51" s="23">
        <v>44229</v>
      </c>
      <c r="B51" t="str">
        <f>VLOOKUP('Clean data'!F:F,Dim_table!A:C,3,FALSE)</f>
        <v>HOU-002</v>
      </c>
      <c r="C51">
        <v>-900</v>
      </c>
    </row>
    <row r="52" spans="1:3" x14ac:dyDescent="0.25">
      <c r="A52" s="23">
        <v>44229</v>
      </c>
      <c r="B52" t="str">
        <f>VLOOKUP('Clean data'!F:F,Dim_table!A:C,3,FALSE)</f>
        <v>LOA-009</v>
      </c>
      <c r="C52">
        <v>-150</v>
      </c>
    </row>
    <row r="53" spans="1:3" x14ac:dyDescent="0.25">
      <c r="A53" s="23">
        <v>44229</v>
      </c>
      <c r="B53" t="str">
        <f>VLOOKUP('Clean data'!F:F,Dim_table!A:C,3,FALSE)</f>
        <v>FOO-003</v>
      </c>
      <c r="C53">
        <v>-5</v>
      </c>
    </row>
    <row r="54" spans="1:3" x14ac:dyDescent="0.25">
      <c r="A54" s="23">
        <v>44230</v>
      </c>
      <c r="B54" t="str">
        <f>VLOOKUP('Clean data'!F:F,Dim_table!A:C,3,FALSE)</f>
        <v>FOO-003</v>
      </c>
      <c r="C54">
        <v>-5</v>
      </c>
    </row>
    <row r="55" spans="1:3" x14ac:dyDescent="0.25">
      <c r="A55" s="23">
        <v>44231</v>
      </c>
      <c r="B55" t="str">
        <f>VLOOKUP('Clean data'!F:F,Dim_table!A:C,3,FALSE)</f>
        <v>FOO-003</v>
      </c>
      <c r="C55">
        <v>-5</v>
      </c>
    </row>
    <row r="56" spans="1:3" x14ac:dyDescent="0.25">
      <c r="A56" s="23">
        <v>44232</v>
      </c>
      <c r="B56" t="str">
        <f>VLOOKUP('Clean data'!F:F,Dim_table!A:C,3,FALSE)</f>
        <v>FOO-003</v>
      </c>
      <c r="C56">
        <v>-5</v>
      </c>
    </row>
    <row r="57" spans="1:3" x14ac:dyDescent="0.25">
      <c r="A57" s="23">
        <v>44232</v>
      </c>
      <c r="B57" t="str">
        <f>VLOOKUP('Clean data'!F:F,Dim_table!A:C,3,FALSE)</f>
        <v>FOO-003</v>
      </c>
      <c r="C57">
        <v>-205</v>
      </c>
    </row>
    <row r="58" spans="1:3" x14ac:dyDescent="0.25">
      <c r="A58" s="23">
        <v>44235</v>
      </c>
      <c r="B58" t="str">
        <f>VLOOKUP('Clean data'!F:F,Dim_table!A:C,3,FALSE)</f>
        <v>FOO-003</v>
      </c>
      <c r="C58">
        <v>-51.1</v>
      </c>
    </row>
    <row r="59" spans="1:3" x14ac:dyDescent="0.25">
      <c r="A59" s="23">
        <v>44235</v>
      </c>
      <c r="B59" t="str">
        <f>VLOOKUP('Clean data'!F:F,Dim_table!A:C,3,FALSE)</f>
        <v>FOO-003</v>
      </c>
      <c r="C59">
        <v>-5</v>
      </c>
    </row>
    <row r="60" spans="1:3" x14ac:dyDescent="0.25">
      <c r="A60" s="23">
        <v>44236</v>
      </c>
      <c r="B60" t="str">
        <f>VLOOKUP('Clean data'!F:F,Dim_table!A:C,3,FALSE)</f>
        <v>FOO-003</v>
      </c>
      <c r="C60">
        <v>-5</v>
      </c>
    </row>
    <row r="61" spans="1:3" x14ac:dyDescent="0.25">
      <c r="A61" s="23">
        <v>44237</v>
      </c>
      <c r="B61" t="str">
        <f>VLOOKUP('Clean data'!F:F,Dim_table!A:C,3,FALSE)</f>
        <v>TRA-004</v>
      </c>
      <c r="C61">
        <v>-78</v>
      </c>
    </row>
    <row r="62" spans="1:3" x14ac:dyDescent="0.25">
      <c r="A62" s="23">
        <v>44237</v>
      </c>
      <c r="B62" t="str">
        <f>VLOOKUP('Clean data'!F:F,Dim_table!A:C,3,FALSE)</f>
        <v>FOO-003</v>
      </c>
      <c r="C62">
        <v>-5</v>
      </c>
    </row>
    <row r="63" spans="1:3" x14ac:dyDescent="0.25">
      <c r="A63" s="23">
        <v>44238</v>
      </c>
      <c r="B63" t="str">
        <f>VLOOKUP('Clean data'!F:F,Dim_table!A:C,3,FALSE)</f>
        <v>FOO-003</v>
      </c>
      <c r="C63">
        <v>-5</v>
      </c>
    </row>
    <row r="64" spans="1:3" x14ac:dyDescent="0.25">
      <c r="A64" s="23">
        <v>44239</v>
      </c>
      <c r="B64" t="str">
        <f>VLOOKUP('Clean data'!F:F,Dim_table!A:C,3,FALSE)</f>
        <v>FOO-003</v>
      </c>
      <c r="C64">
        <v>-135.9</v>
      </c>
    </row>
    <row r="65" spans="1:3" x14ac:dyDescent="0.25">
      <c r="A65" s="23">
        <v>44239</v>
      </c>
      <c r="B65" t="str">
        <f>VLOOKUP('Clean data'!F:F,Dim_table!A:C,3,FALSE)</f>
        <v>FOO-003</v>
      </c>
      <c r="C65">
        <v>-5</v>
      </c>
    </row>
    <row r="66" spans="1:3" x14ac:dyDescent="0.25">
      <c r="A66" s="23">
        <v>44240</v>
      </c>
      <c r="B66" t="str">
        <f>VLOOKUP('Clean data'!F:F,Dim_table!A:C,3,FALSE)</f>
        <v>FOO-003</v>
      </c>
      <c r="C66">
        <v>-5</v>
      </c>
    </row>
    <row r="67" spans="1:3" x14ac:dyDescent="0.25">
      <c r="A67" s="23">
        <v>44240</v>
      </c>
      <c r="B67" t="str">
        <f>VLOOKUP('Clean data'!F:F,Dim_table!A:C,3,FALSE)</f>
        <v>ENT-006</v>
      </c>
      <c r="C67">
        <v>-40.9</v>
      </c>
    </row>
    <row r="68" spans="1:3" x14ac:dyDescent="0.25">
      <c r="A68" s="23">
        <v>44240</v>
      </c>
      <c r="B68" t="str">
        <f>VLOOKUP('Clean data'!F:F,Dim_table!A:C,3,FALSE)</f>
        <v>PER-008</v>
      </c>
      <c r="C68">
        <v>-99</v>
      </c>
    </row>
    <row r="69" spans="1:3" x14ac:dyDescent="0.25">
      <c r="A69" s="23">
        <v>44240</v>
      </c>
      <c r="B69" t="str">
        <f>VLOOKUP('Clean data'!F:F,Dim_table!A:C,3,FALSE)</f>
        <v>FOO-003</v>
      </c>
      <c r="C69">
        <v>-53</v>
      </c>
    </row>
    <row r="70" spans="1:3" x14ac:dyDescent="0.25">
      <c r="A70" s="23">
        <v>44241</v>
      </c>
      <c r="B70" t="str">
        <f>VLOOKUP('Clean data'!F:F,Dim_table!A:C,3,FALSE)</f>
        <v>TRA-004</v>
      </c>
      <c r="C70">
        <v>-28.9</v>
      </c>
    </row>
    <row r="71" spans="1:3" x14ac:dyDescent="0.25">
      <c r="A71" s="23">
        <v>44242</v>
      </c>
      <c r="B71" t="str">
        <f>VLOOKUP('Clean data'!F:F,Dim_table!A:C,3,FALSE)</f>
        <v>PVE-010</v>
      </c>
      <c r="C71">
        <v>800</v>
      </c>
    </row>
    <row r="72" spans="1:3" x14ac:dyDescent="0.25">
      <c r="A72" s="23">
        <v>44242</v>
      </c>
      <c r="B72" t="str">
        <f>VLOOKUP('Clean data'!F:F,Dim_table!A:C,3,FALSE)</f>
        <v>FOO-003</v>
      </c>
      <c r="C72">
        <v>-5</v>
      </c>
    </row>
    <row r="73" spans="1:3" x14ac:dyDescent="0.25">
      <c r="A73" s="23">
        <v>44243</v>
      </c>
      <c r="B73" t="str">
        <f>VLOOKUP('Clean data'!F:F,Dim_table!A:C,3,FALSE)</f>
        <v>FOO-003</v>
      </c>
      <c r="C73">
        <v>-5</v>
      </c>
    </row>
    <row r="74" spans="1:3" x14ac:dyDescent="0.25">
      <c r="A74" s="23">
        <v>44243</v>
      </c>
      <c r="B74" t="str">
        <f>VLOOKUP('Clean data'!F:F,Dim_table!A:C,3,FALSE)</f>
        <v>UTI-005</v>
      </c>
      <c r="C74">
        <v>-40</v>
      </c>
    </row>
    <row r="75" spans="1:3" x14ac:dyDescent="0.25">
      <c r="A75" s="23">
        <v>44244</v>
      </c>
      <c r="B75" t="str">
        <f>VLOOKUP('Clean data'!F:F,Dim_table!A:C,3,FALSE)</f>
        <v>PER-008</v>
      </c>
      <c r="C75">
        <v>-45.9</v>
      </c>
    </row>
    <row r="76" spans="1:3" x14ac:dyDescent="0.25">
      <c r="A76" s="23">
        <v>44244</v>
      </c>
      <c r="B76" t="str">
        <f>VLOOKUP('Clean data'!F:F,Dim_table!A:C,3,FALSE)</f>
        <v>ENT-006</v>
      </c>
      <c r="C76">
        <v>-35</v>
      </c>
    </row>
    <row r="77" spans="1:3" x14ac:dyDescent="0.25">
      <c r="A77" s="23">
        <v>44244</v>
      </c>
      <c r="B77" t="str">
        <f>VLOOKUP('Clean data'!F:F,Dim_table!A:C,3,FALSE)</f>
        <v>FOO-003</v>
      </c>
      <c r="C77">
        <v>-5</v>
      </c>
    </row>
    <row r="78" spans="1:3" x14ac:dyDescent="0.25">
      <c r="A78" s="23">
        <v>44245</v>
      </c>
      <c r="B78" t="str">
        <f>VLOOKUP('Clean data'!F:F,Dim_table!A:C,3,FALSE)</f>
        <v>FOO-003</v>
      </c>
      <c r="C78">
        <v>-5</v>
      </c>
    </row>
    <row r="79" spans="1:3" x14ac:dyDescent="0.25">
      <c r="A79" s="23">
        <v>44246</v>
      </c>
      <c r="B79" t="str">
        <f>VLOOKUP('Clean data'!F:F,Dim_table!A:C,3,FALSE)</f>
        <v>FOO-003</v>
      </c>
      <c r="C79">
        <v>-5</v>
      </c>
    </row>
    <row r="80" spans="1:3" x14ac:dyDescent="0.25">
      <c r="A80" s="23">
        <v>44246</v>
      </c>
      <c r="B80" t="str">
        <f>VLOOKUP('Clean data'!F:F,Dim_table!A:C,3,FALSE)</f>
        <v>FOO-003</v>
      </c>
      <c r="C80">
        <v>-171</v>
      </c>
    </row>
    <row r="81" spans="1:3" x14ac:dyDescent="0.25">
      <c r="A81" s="23">
        <v>44247</v>
      </c>
      <c r="B81" t="str">
        <f>VLOOKUP('Clean data'!F:F,Dim_table!A:C,3,FALSE)</f>
        <v>FOO-003</v>
      </c>
      <c r="C81">
        <v>-37.9</v>
      </c>
    </row>
    <row r="82" spans="1:3" x14ac:dyDescent="0.25">
      <c r="A82" s="23">
        <v>44248</v>
      </c>
      <c r="B82" t="str">
        <f>VLOOKUP('Clean data'!F:F,Dim_table!A:C,3,FALSE)</f>
        <v>FOO-003</v>
      </c>
      <c r="C82">
        <v>-12.9</v>
      </c>
    </row>
    <row r="83" spans="1:3" x14ac:dyDescent="0.25">
      <c r="A83" s="23">
        <v>44249</v>
      </c>
      <c r="B83" t="str">
        <f>VLOOKUP('Clean data'!F:F,Dim_table!A:C,3,FALSE)</f>
        <v>PER-008</v>
      </c>
      <c r="C83">
        <v>-55</v>
      </c>
    </row>
    <row r="84" spans="1:3" x14ac:dyDescent="0.25">
      <c r="A84" s="23">
        <v>44249</v>
      </c>
      <c r="B84" t="str">
        <f>VLOOKUP('Clean data'!F:F,Dim_table!A:C,3,FALSE)</f>
        <v>TRA-004</v>
      </c>
      <c r="C84">
        <v>-64.099999999999994</v>
      </c>
    </row>
    <row r="85" spans="1:3" x14ac:dyDescent="0.25">
      <c r="A85" s="23">
        <v>44249</v>
      </c>
      <c r="B85" t="str">
        <f>VLOOKUP('Clean data'!F:F,Dim_table!A:C,3,FALSE)</f>
        <v>FOO-003</v>
      </c>
      <c r="C85">
        <v>-5</v>
      </c>
    </row>
    <row r="86" spans="1:3" x14ac:dyDescent="0.25">
      <c r="A86" s="23">
        <v>44250</v>
      </c>
      <c r="B86" t="str">
        <f>VLOOKUP('Clean data'!F:F,Dim_table!A:C,3,FALSE)</f>
        <v>FOO-003</v>
      </c>
      <c r="C86">
        <v>-5</v>
      </c>
    </row>
    <row r="87" spans="1:3" x14ac:dyDescent="0.25">
      <c r="A87" s="23">
        <v>44251</v>
      </c>
      <c r="B87" t="str">
        <f>VLOOKUP('Clean data'!F:F,Dim_table!A:C,3,FALSE)</f>
        <v>FOO-003</v>
      </c>
      <c r="C87">
        <v>-5</v>
      </c>
    </row>
    <row r="88" spans="1:3" x14ac:dyDescent="0.25">
      <c r="A88" s="23">
        <v>44252</v>
      </c>
      <c r="B88" t="str">
        <f>VLOOKUP('Clean data'!F:F,Dim_table!A:C,3,FALSE)</f>
        <v>FOO-003</v>
      </c>
      <c r="C88">
        <v>-5</v>
      </c>
    </row>
    <row r="89" spans="1:3" x14ac:dyDescent="0.25">
      <c r="A89" s="23">
        <v>44253</v>
      </c>
      <c r="B89" t="str">
        <f>VLOOKUP('Clean data'!F:F,Dim_table!A:C,3,FALSE)</f>
        <v>FOO-003</v>
      </c>
      <c r="C89">
        <v>-5</v>
      </c>
    </row>
    <row r="90" spans="1:3" x14ac:dyDescent="0.25">
      <c r="A90" s="23">
        <v>44253</v>
      </c>
      <c r="B90" t="str">
        <f>VLOOKUP('Clean data'!F:F,Dim_table!A:C,3,FALSE)</f>
        <v>FOO-003</v>
      </c>
      <c r="C90">
        <v>-162.9</v>
      </c>
    </row>
    <row r="91" spans="1:3" x14ac:dyDescent="0.25">
      <c r="A91" s="23">
        <v>44254</v>
      </c>
      <c r="B91" t="str">
        <f>VLOOKUP('Clean data'!F:F,Dim_table!A:C,3,FALSE)</f>
        <v>PER-008</v>
      </c>
      <c r="C91">
        <v>-125.9</v>
      </c>
    </row>
    <row r="92" spans="1:3" x14ac:dyDescent="0.25">
      <c r="A92" s="23">
        <v>44254</v>
      </c>
      <c r="B92" t="str">
        <f>VLOOKUP('Clean data'!F:F,Dim_table!A:C,3,FALSE)</f>
        <v>PER-008</v>
      </c>
      <c r="C92">
        <v>-137</v>
      </c>
    </row>
    <row r="93" spans="1:3" x14ac:dyDescent="0.25">
      <c r="A93" s="23">
        <v>44255</v>
      </c>
      <c r="B93" t="str">
        <f>VLOOKUP('Clean data'!F:F,Dim_table!A:C,3,FALSE)</f>
        <v>PER-008</v>
      </c>
      <c r="C93">
        <v>-146.1</v>
      </c>
    </row>
    <row r="94" spans="1:3" x14ac:dyDescent="0.25">
      <c r="A94" s="23">
        <v>44255</v>
      </c>
      <c r="B94" t="str">
        <f>VLOOKUP('Clean data'!F:F,Dim_table!A:C,3,FALSE)</f>
        <v>TRA-004</v>
      </c>
      <c r="C94">
        <v>-24.1</v>
      </c>
    </row>
    <row r="95" spans="1:3" x14ac:dyDescent="0.25">
      <c r="A95" s="23">
        <v>44256</v>
      </c>
      <c r="B95" t="str">
        <f>VLOOKUP('Clean data'!F:F,Dim_table!A:C,3,FALSE)</f>
        <v>SAL-001</v>
      </c>
      <c r="C95">
        <v>5000</v>
      </c>
    </row>
    <row r="96" spans="1:3" x14ac:dyDescent="0.25">
      <c r="A96" s="23">
        <v>44256</v>
      </c>
      <c r="B96" t="str">
        <f>VLOOKUP('Clean data'!F:F,Dim_table!A:C,3,FALSE)</f>
        <v>FOO-003</v>
      </c>
      <c r="C96">
        <v>-5</v>
      </c>
    </row>
    <row r="97" spans="1:3" x14ac:dyDescent="0.25">
      <c r="A97" s="23">
        <v>44257</v>
      </c>
      <c r="B97" t="str">
        <f>VLOOKUP('Clean data'!F:F,Dim_table!A:C,3,FALSE)</f>
        <v>HOU-002</v>
      </c>
      <c r="C97">
        <v>-900</v>
      </c>
    </row>
    <row r="98" spans="1:3" x14ac:dyDescent="0.25">
      <c r="A98" s="23">
        <v>44257</v>
      </c>
      <c r="B98" t="str">
        <f>VLOOKUP('Clean data'!F:F,Dim_table!A:C,3,FALSE)</f>
        <v>LOA-009</v>
      </c>
      <c r="C98">
        <v>-150</v>
      </c>
    </row>
    <row r="99" spans="1:3" x14ac:dyDescent="0.25">
      <c r="A99" s="23">
        <v>44257</v>
      </c>
      <c r="B99" t="str">
        <f>VLOOKUP('Clean data'!F:F,Dim_table!A:C,3,FALSE)</f>
        <v>FOO-003</v>
      </c>
      <c r="C99">
        <v>-5</v>
      </c>
    </row>
    <row r="100" spans="1:3" x14ac:dyDescent="0.25">
      <c r="A100" s="23">
        <v>44258</v>
      </c>
      <c r="B100" t="str">
        <f>VLOOKUP('Clean data'!F:F,Dim_table!A:C,3,FALSE)</f>
        <v>FOO-003</v>
      </c>
      <c r="C100">
        <v>-5</v>
      </c>
    </row>
    <row r="101" spans="1:3" x14ac:dyDescent="0.25">
      <c r="A101" s="23">
        <v>44259</v>
      </c>
      <c r="B101" t="str">
        <f>VLOOKUP('Clean data'!F:F,Dim_table!A:C,3,FALSE)</f>
        <v>FOO-003</v>
      </c>
      <c r="C101">
        <v>-5</v>
      </c>
    </row>
    <row r="102" spans="1:3" x14ac:dyDescent="0.25">
      <c r="A102" s="23">
        <v>44260</v>
      </c>
      <c r="B102" t="str">
        <f>VLOOKUP('Clean data'!F:F,Dim_table!A:C,3,FALSE)</f>
        <v>FOO-003</v>
      </c>
      <c r="C102">
        <v>-5</v>
      </c>
    </row>
    <row r="103" spans="1:3" x14ac:dyDescent="0.25">
      <c r="A103" s="23">
        <v>44260</v>
      </c>
      <c r="B103" t="str">
        <f>VLOOKUP('Clean data'!F:F,Dim_table!A:C,3,FALSE)</f>
        <v>FOO-003</v>
      </c>
      <c r="C103">
        <v>-149</v>
      </c>
    </row>
    <row r="104" spans="1:3" x14ac:dyDescent="0.25">
      <c r="A104" s="23">
        <v>44263</v>
      </c>
      <c r="B104" t="str">
        <f>VLOOKUP('Clean data'!F:F,Dim_table!A:C,3,FALSE)</f>
        <v>FOO-003</v>
      </c>
      <c r="C104">
        <v>-52.1</v>
      </c>
    </row>
    <row r="105" spans="1:3" x14ac:dyDescent="0.25">
      <c r="A105" s="23">
        <v>44263</v>
      </c>
      <c r="B105" t="str">
        <f>VLOOKUP('Clean data'!F:F,Dim_table!A:C,3,FALSE)</f>
        <v>FOO-003</v>
      </c>
      <c r="C105">
        <v>-5</v>
      </c>
    </row>
    <row r="106" spans="1:3" x14ac:dyDescent="0.25">
      <c r="A106" s="23">
        <v>44264</v>
      </c>
      <c r="B106" t="str">
        <f>VLOOKUP('Clean data'!F:F,Dim_table!A:C,3,FALSE)</f>
        <v>FOO-003</v>
      </c>
      <c r="C106">
        <v>-5</v>
      </c>
    </row>
    <row r="107" spans="1:3" x14ac:dyDescent="0.25">
      <c r="A107" s="23">
        <v>44265</v>
      </c>
      <c r="B107" t="str">
        <f>VLOOKUP('Clean data'!F:F,Dim_table!A:C,3,FALSE)</f>
        <v>TRA-004</v>
      </c>
      <c r="C107">
        <v>-78.900000000000006</v>
      </c>
    </row>
    <row r="108" spans="1:3" x14ac:dyDescent="0.25">
      <c r="A108" s="23">
        <v>44265</v>
      </c>
      <c r="B108" t="str">
        <f>VLOOKUP('Clean data'!F:F,Dim_table!A:C,3,FALSE)</f>
        <v>FOO-003</v>
      </c>
      <c r="C108">
        <v>-5</v>
      </c>
    </row>
    <row r="109" spans="1:3" x14ac:dyDescent="0.25">
      <c r="A109" s="23">
        <v>44266</v>
      </c>
      <c r="B109" t="str">
        <f>VLOOKUP('Clean data'!F:F,Dim_table!A:C,3,FALSE)</f>
        <v>FOO-003</v>
      </c>
      <c r="C109">
        <v>-5</v>
      </c>
    </row>
    <row r="110" spans="1:3" x14ac:dyDescent="0.25">
      <c r="A110" s="23">
        <v>44267</v>
      </c>
      <c r="B110" t="str">
        <f>VLOOKUP('Clean data'!F:F,Dim_table!A:C,3,FALSE)</f>
        <v>FOO-003</v>
      </c>
      <c r="C110">
        <v>-137</v>
      </c>
    </row>
    <row r="111" spans="1:3" x14ac:dyDescent="0.25">
      <c r="A111" s="23">
        <v>44267</v>
      </c>
      <c r="B111" t="str">
        <f>VLOOKUP('Clean data'!F:F,Dim_table!A:C,3,FALSE)</f>
        <v>FOO-003</v>
      </c>
      <c r="C111">
        <v>-5</v>
      </c>
    </row>
    <row r="112" spans="1:3" x14ac:dyDescent="0.25">
      <c r="A112" s="23">
        <v>44268</v>
      </c>
      <c r="B112" t="str">
        <f>VLOOKUP('Clean data'!F:F,Dim_table!A:C,3,FALSE)</f>
        <v>FOO-003</v>
      </c>
      <c r="C112">
        <v>-5</v>
      </c>
    </row>
    <row r="113" spans="1:3" x14ac:dyDescent="0.25">
      <c r="A113" s="23">
        <v>44268</v>
      </c>
      <c r="B113" t="str">
        <f>VLOOKUP('Clean data'!F:F,Dim_table!A:C,3,FALSE)</f>
        <v>ENT-006</v>
      </c>
      <c r="C113">
        <v>-41.8</v>
      </c>
    </row>
    <row r="114" spans="1:3" x14ac:dyDescent="0.25">
      <c r="A114" s="23">
        <v>44268</v>
      </c>
      <c r="B114" t="str">
        <f>VLOOKUP('Clean data'!F:F,Dim_table!A:C,3,FALSE)</f>
        <v>PER-008</v>
      </c>
      <c r="C114">
        <v>-99.9</v>
      </c>
    </row>
    <row r="115" spans="1:3" x14ac:dyDescent="0.25">
      <c r="A115" s="23">
        <v>44268</v>
      </c>
      <c r="B115" t="str">
        <f>VLOOKUP('Clean data'!F:F,Dim_table!A:C,3,FALSE)</f>
        <v>FOO-003</v>
      </c>
      <c r="C115">
        <v>-54</v>
      </c>
    </row>
    <row r="116" spans="1:3" x14ac:dyDescent="0.25">
      <c r="A116" s="23">
        <v>44269</v>
      </c>
      <c r="B116" t="str">
        <f>VLOOKUP('Clean data'!F:F,Dim_table!A:C,3,FALSE)</f>
        <v>TRA-004</v>
      </c>
      <c r="C116">
        <v>-30</v>
      </c>
    </row>
    <row r="117" spans="1:3" x14ac:dyDescent="0.25">
      <c r="A117" s="23">
        <v>44270</v>
      </c>
      <c r="B117" t="str">
        <f>VLOOKUP('Clean data'!F:F,Dim_table!A:C,3,FALSE)</f>
        <v>PVE-010</v>
      </c>
      <c r="C117">
        <v>1000</v>
      </c>
    </row>
    <row r="118" spans="1:3" x14ac:dyDescent="0.25">
      <c r="A118" s="23">
        <v>44270</v>
      </c>
      <c r="B118" t="str">
        <f>VLOOKUP('Clean data'!F:F,Dim_table!A:C,3,FALSE)</f>
        <v>FOO-003</v>
      </c>
      <c r="C118">
        <v>-5</v>
      </c>
    </row>
    <row r="119" spans="1:3" x14ac:dyDescent="0.25">
      <c r="A119" s="23">
        <v>44271</v>
      </c>
      <c r="B119" t="str">
        <f>VLOOKUP('Clean data'!F:F,Dim_table!A:C,3,FALSE)</f>
        <v>FOO-003</v>
      </c>
      <c r="C119">
        <v>-5</v>
      </c>
    </row>
    <row r="120" spans="1:3" x14ac:dyDescent="0.25">
      <c r="A120" s="23">
        <v>44271</v>
      </c>
      <c r="B120" t="str">
        <f>VLOOKUP('Clean data'!F:F,Dim_table!A:C,3,FALSE)</f>
        <v>MED-007</v>
      </c>
      <c r="C120">
        <v>-75</v>
      </c>
    </row>
    <row r="121" spans="1:3" x14ac:dyDescent="0.25">
      <c r="A121" s="23">
        <v>44271</v>
      </c>
      <c r="B121" t="str">
        <f>VLOOKUP('Clean data'!F:F,Dim_table!A:C,3,FALSE)</f>
        <v>UTI-005</v>
      </c>
      <c r="C121">
        <v>-40</v>
      </c>
    </row>
    <row r="122" spans="1:3" x14ac:dyDescent="0.25">
      <c r="A122" s="23">
        <v>44272</v>
      </c>
      <c r="B122" t="str">
        <f>VLOOKUP('Clean data'!F:F,Dim_table!A:C,3,FALSE)</f>
        <v>PER-008</v>
      </c>
      <c r="C122">
        <v>-46.8</v>
      </c>
    </row>
    <row r="123" spans="1:3" x14ac:dyDescent="0.25">
      <c r="A123" s="23">
        <v>44272</v>
      </c>
      <c r="B123" t="str">
        <f>VLOOKUP('Clean data'!F:F,Dim_table!A:C,3,FALSE)</f>
        <v>ENT-006</v>
      </c>
      <c r="C123">
        <v>-35</v>
      </c>
    </row>
    <row r="124" spans="1:3" x14ac:dyDescent="0.25">
      <c r="A124" s="23">
        <v>44272</v>
      </c>
      <c r="B124" t="str">
        <f>VLOOKUP('Clean data'!F:F,Dim_table!A:C,3,FALSE)</f>
        <v>FOO-003</v>
      </c>
      <c r="C124">
        <v>-5</v>
      </c>
    </row>
    <row r="125" spans="1:3" x14ac:dyDescent="0.25">
      <c r="A125" s="23">
        <v>44273</v>
      </c>
      <c r="B125" t="str">
        <f>VLOOKUP('Clean data'!F:F,Dim_table!A:C,3,FALSE)</f>
        <v>FOO-003</v>
      </c>
      <c r="C125">
        <v>-5</v>
      </c>
    </row>
    <row r="126" spans="1:3" x14ac:dyDescent="0.25">
      <c r="A126" s="23">
        <v>44274</v>
      </c>
      <c r="B126" t="str">
        <f>VLOOKUP('Clean data'!F:F,Dim_table!A:C,3,FALSE)</f>
        <v>FOO-003</v>
      </c>
      <c r="C126">
        <v>-5</v>
      </c>
    </row>
    <row r="127" spans="1:3" x14ac:dyDescent="0.25">
      <c r="A127" s="23">
        <v>44274</v>
      </c>
      <c r="B127" t="str">
        <f>VLOOKUP('Clean data'!F:F,Dim_table!A:C,3,FALSE)</f>
        <v>FOO-003</v>
      </c>
      <c r="C127">
        <v>-171.9</v>
      </c>
    </row>
    <row r="128" spans="1:3" x14ac:dyDescent="0.25">
      <c r="A128" s="23">
        <v>44275</v>
      </c>
      <c r="B128" t="str">
        <f>VLOOKUP('Clean data'!F:F,Dim_table!A:C,3,FALSE)</f>
        <v>FOO-003</v>
      </c>
      <c r="C128">
        <v>-39</v>
      </c>
    </row>
    <row r="129" spans="1:3" x14ac:dyDescent="0.25">
      <c r="A129" s="23">
        <v>44276</v>
      </c>
      <c r="B129" t="str">
        <f>VLOOKUP('Clean data'!F:F,Dim_table!A:C,3,FALSE)</f>
        <v>FOO-003</v>
      </c>
      <c r="C129">
        <v>-14</v>
      </c>
    </row>
    <row r="130" spans="1:3" x14ac:dyDescent="0.25">
      <c r="A130" s="23">
        <v>44277</v>
      </c>
      <c r="B130" t="str">
        <f>VLOOKUP('Clean data'!F:F,Dim_table!A:C,3,FALSE)</f>
        <v>PER-008</v>
      </c>
      <c r="C130">
        <v>-55</v>
      </c>
    </row>
    <row r="131" spans="1:3" x14ac:dyDescent="0.25">
      <c r="A131" s="23">
        <v>44277</v>
      </c>
      <c r="B131" t="str">
        <f>VLOOKUP('Clean data'!F:F,Dim_table!A:C,3,FALSE)</f>
        <v>TRA-004</v>
      </c>
      <c r="C131">
        <v>-65</v>
      </c>
    </row>
    <row r="132" spans="1:3" x14ac:dyDescent="0.25">
      <c r="A132" s="23">
        <v>44277</v>
      </c>
      <c r="B132" t="str">
        <f>VLOOKUP('Clean data'!F:F,Dim_table!A:C,3,FALSE)</f>
        <v>FOO-003</v>
      </c>
      <c r="C132">
        <v>-5</v>
      </c>
    </row>
    <row r="133" spans="1:3" x14ac:dyDescent="0.25">
      <c r="A133" s="23">
        <v>44278</v>
      </c>
      <c r="B133" t="str">
        <f>VLOOKUP('Clean data'!F:F,Dim_table!A:C,3,FALSE)</f>
        <v>FOO-003</v>
      </c>
      <c r="C133">
        <v>-5</v>
      </c>
    </row>
    <row r="134" spans="1:3" x14ac:dyDescent="0.25">
      <c r="A134" s="23">
        <v>44279</v>
      </c>
      <c r="B134" t="str">
        <f>VLOOKUP('Clean data'!F:F,Dim_table!A:C,3,FALSE)</f>
        <v>FOO-003</v>
      </c>
      <c r="C134">
        <v>-5</v>
      </c>
    </row>
    <row r="135" spans="1:3" x14ac:dyDescent="0.25">
      <c r="A135" s="23">
        <v>44280</v>
      </c>
      <c r="B135" t="str">
        <f>VLOOKUP('Clean data'!F:F,Dim_table!A:C,3,FALSE)</f>
        <v>FOO-003</v>
      </c>
      <c r="C135">
        <v>-5</v>
      </c>
    </row>
    <row r="136" spans="1:3" x14ac:dyDescent="0.25">
      <c r="A136" s="23">
        <v>44281</v>
      </c>
      <c r="B136" t="str">
        <f>VLOOKUP('Clean data'!F:F,Dim_table!A:C,3,FALSE)</f>
        <v>FOO-003</v>
      </c>
      <c r="C136">
        <v>-5</v>
      </c>
    </row>
    <row r="137" spans="1:3" x14ac:dyDescent="0.25">
      <c r="A137" s="23">
        <v>44281</v>
      </c>
      <c r="B137" t="str">
        <f>VLOOKUP('Clean data'!F:F,Dim_table!A:C,3,FALSE)</f>
        <v>FOO-003</v>
      </c>
      <c r="C137">
        <v>-209</v>
      </c>
    </row>
    <row r="138" spans="1:3" x14ac:dyDescent="0.25">
      <c r="A138" s="23">
        <v>44282</v>
      </c>
      <c r="B138" t="str">
        <f>VLOOKUP('Clean data'!F:F,Dim_table!A:C,3,FALSE)</f>
        <v>PER-008</v>
      </c>
      <c r="C138">
        <v>-127</v>
      </c>
    </row>
    <row r="139" spans="1:3" x14ac:dyDescent="0.25">
      <c r="A139" s="23">
        <v>44282</v>
      </c>
      <c r="B139" t="str">
        <f>VLOOKUP('Clean data'!F:F,Dim_table!A:C,3,FALSE)</f>
        <v>PER-008</v>
      </c>
      <c r="C139">
        <v>-177.2</v>
      </c>
    </row>
    <row r="140" spans="1:3" x14ac:dyDescent="0.25">
      <c r="A140" s="23">
        <v>44283</v>
      </c>
      <c r="B140" t="str">
        <f>VLOOKUP('Clean data'!F:F,Dim_table!A:C,3,FALSE)</f>
        <v>PER-008</v>
      </c>
      <c r="C140">
        <v>-147.1</v>
      </c>
    </row>
    <row r="141" spans="1:3" x14ac:dyDescent="0.25">
      <c r="A141" s="23">
        <v>44283</v>
      </c>
      <c r="B141" t="str">
        <f>VLOOKUP('Clean data'!F:F,Dim_table!A:C,3,FALSE)</f>
        <v>TRA-004</v>
      </c>
      <c r="C141">
        <v>-25</v>
      </c>
    </row>
    <row r="142" spans="1:3" x14ac:dyDescent="0.25">
      <c r="A142" s="23">
        <v>44284</v>
      </c>
      <c r="B142" t="str">
        <f>VLOOKUP('Clean data'!F:F,Dim_table!A:C,3,FALSE)</f>
        <v>FOO-003</v>
      </c>
      <c r="C142">
        <v>-15</v>
      </c>
    </row>
    <row r="143" spans="1:3" x14ac:dyDescent="0.25">
      <c r="A143" s="23">
        <v>44285</v>
      </c>
      <c r="B143" t="str">
        <f>VLOOKUP('Clean data'!F:F,Dim_table!A:C,3,FALSE)</f>
        <v>FOO-003</v>
      </c>
      <c r="C143">
        <v>-5</v>
      </c>
    </row>
    <row r="144" spans="1:3" x14ac:dyDescent="0.25">
      <c r="A144" s="23">
        <v>44286</v>
      </c>
      <c r="B144" t="str">
        <f>VLOOKUP('Clean data'!F:F,Dim_table!A:C,3,FALSE)</f>
        <v>FOO-003</v>
      </c>
      <c r="C144">
        <v>-5</v>
      </c>
    </row>
    <row r="145" spans="1:3" x14ac:dyDescent="0.25">
      <c r="A145" s="23">
        <v>44287</v>
      </c>
      <c r="B145" t="str">
        <f>VLOOKUP('Clean data'!F:F,Dim_table!A:C,3,FALSE)</f>
        <v>SAL-001</v>
      </c>
      <c r="C145">
        <v>5000</v>
      </c>
    </row>
    <row r="146" spans="1:3" x14ac:dyDescent="0.25">
      <c r="A146" s="23">
        <v>44287</v>
      </c>
      <c r="B146" t="str">
        <f>VLOOKUP('Clean data'!F:F,Dim_table!A:C,3,FALSE)</f>
        <v>FOO-003</v>
      </c>
      <c r="C146">
        <v>-5</v>
      </c>
    </row>
    <row r="147" spans="1:3" x14ac:dyDescent="0.25">
      <c r="A147" s="23">
        <v>44288</v>
      </c>
      <c r="B147" t="str">
        <f>VLOOKUP('Clean data'!F:F,Dim_table!A:C,3,FALSE)</f>
        <v>HOU-002</v>
      </c>
      <c r="C147">
        <v>-900</v>
      </c>
    </row>
    <row r="148" spans="1:3" x14ac:dyDescent="0.25">
      <c r="A148" s="23">
        <v>44288</v>
      </c>
      <c r="B148" t="str">
        <f>VLOOKUP('Clean data'!F:F,Dim_table!A:C,3,FALSE)</f>
        <v>LOA-009</v>
      </c>
      <c r="C148">
        <v>-150</v>
      </c>
    </row>
    <row r="149" spans="1:3" x14ac:dyDescent="0.25">
      <c r="A149" s="23">
        <v>44288</v>
      </c>
      <c r="B149" t="str">
        <f>VLOOKUP('Clean data'!F:F,Dim_table!A:C,3,FALSE)</f>
        <v>FOO-003</v>
      </c>
      <c r="C149">
        <v>-5</v>
      </c>
    </row>
    <row r="150" spans="1:3" x14ac:dyDescent="0.25">
      <c r="A150" s="23">
        <v>44289</v>
      </c>
      <c r="B150" t="str">
        <f>VLOOKUP('Clean data'!F:F,Dim_table!A:C,3,FALSE)</f>
        <v>FOO-003</v>
      </c>
      <c r="C150">
        <v>-5</v>
      </c>
    </row>
    <row r="151" spans="1:3" x14ac:dyDescent="0.25">
      <c r="A151" s="23">
        <v>44290</v>
      </c>
      <c r="B151" t="str">
        <f>VLOOKUP('Clean data'!F:F,Dim_table!A:C,3,FALSE)</f>
        <v>FOO-003</v>
      </c>
      <c r="C151">
        <v>-5</v>
      </c>
    </row>
    <row r="152" spans="1:3" x14ac:dyDescent="0.25">
      <c r="A152" s="23">
        <v>44291</v>
      </c>
      <c r="B152" t="str">
        <f>VLOOKUP('Clean data'!F:F,Dim_table!A:C,3,FALSE)</f>
        <v>FOO-003</v>
      </c>
      <c r="C152">
        <v>-5</v>
      </c>
    </row>
    <row r="153" spans="1:3" x14ac:dyDescent="0.25">
      <c r="A153" s="23">
        <v>44291</v>
      </c>
      <c r="B153" t="str">
        <f>VLOOKUP('Clean data'!F:F,Dim_table!A:C,3,FALSE)</f>
        <v>FOO-003</v>
      </c>
      <c r="C153">
        <v>-158.19999999999999</v>
      </c>
    </row>
    <row r="154" spans="1:3" x14ac:dyDescent="0.25">
      <c r="A154" s="23">
        <v>44294</v>
      </c>
      <c r="B154" t="str">
        <f>VLOOKUP('Clean data'!F:F,Dim_table!A:C,3,FALSE)</f>
        <v>FOO-003</v>
      </c>
      <c r="C154">
        <v>-53.2</v>
      </c>
    </row>
    <row r="155" spans="1:3" x14ac:dyDescent="0.25">
      <c r="A155" s="23">
        <v>44294</v>
      </c>
      <c r="B155" t="str">
        <f>VLOOKUP('Clean data'!F:F,Dim_table!A:C,3,FALSE)</f>
        <v>FOO-003</v>
      </c>
      <c r="C155">
        <v>-5</v>
      </c>
    </row>
    <row r="156" spans="1:3" x14ac:dyDescent="0.25">
      <c r="A156" s="23">
        <v>44295</v>
      </c>
      <c r="B156" t="str">
        <f>VLOOKUP('Clean data'!F:F,Dim_table!A:C,3,FALSE)</f>
        <v>FOO-003</v>
      </c>
      <c r="C156">
        <v>-5</v>
      </c>
    </row>
    <row r="157" spans="1:3" x14ac:dyDescent="0.25">
      <c r="A157" s="23">
        <v>44296</v>
      </c>
      <c r="B157" t="str">
        <f>VLOOKUP('Clean data'!F:F,Dim_table!A:C,3,FALSE)</f>
        <v>TRA-004</v>
      </c>
      <c r="C157">
        <v>-79.900000000000006</v>
      </c>
    </row>
    <row r="158" spans="1:3" x14ac:dyDescent="0.25">
      <c r="A158" s="23">
        <v>44296</v>
      </c>
      <c r="B158" t="str">
        <f>VLOOKUP('Clean data'!F:F,Dim_table!A:C,3,FALSE)</f>
        <v>FOO-003</v>
      </c>
      <c r="C158">
        <v>-5</v>
      </c>
    </row>
    <row r="159" spans="1:3" x14ac:dyDescent="0.25">
      <c r="A159" s="23">
        <v>44297</v>
      </c>
      <c r="B159" t="str">
        <f>VLOOKUP('Clean data'!F:F,Dim_table!A:C,3,FALSE)</f>
        <v>FOO-003</v>
      </c>
      <c r="C159">
        <v>-5</v>
      </c>
    </row>
    <row r="160" spans="1:3" x14ac:dyDescent="0.25">
      <c r="A160" s="23">
        <v>44298</v>
      </c>
      <c r="B160" t="str">
        <f>VLOOKUP('Clean data'!F:F,Dim_table!A:C,3,FALSE)</f>
        <v>FOO-003</v>
      </c>
      <c r="C160">
        <v>-98</v>
      </c>
    </row>
    <row r="161" spans="1:3" x14ac:dyDescent="0.25">
      <c r="A161" s="23">
        <v>44298</v>
      </c>
      <c r="B161" t="str">
        <f>VLOOKUP('Clean data'!F:F,Dim_table!A:C,3,FALSE)</f>
        <v>FOO-003</v>
      </c>
      <c r="C161">
        <v>-5</v>
      </c>
    </row>
    <row r="162" spans="1:3" x14ac:dyDescent="0.25">
      <c r="A162" s="23">
        <v>44299</v>
      </c>
      <c r="B162" t="str">
        <f>VLOOKUP('Clean data'!F:F,Dim_table!A:C,3,FALSE)</f>
        <v>FOO-003</v>
      </c>
      <c r="C162">
        <v>-5</v>
      </c>
    </row>
    <row r="163" spans="1:3" x14ac:dyDescent="0.25">
      <c r="A163" s="23">
        <v>44299</v>
      </c>
      <c r="B163" t="str">
        <f>VLOOKUP('Clean data'!F:F,Dim_table!A:C,3,FALSE)</f>
        <v>ENT-006</v>
      </c>
      <c r="C163">
        <v>-42.8</v>
      </c>
    </row>
    <row r="164" spans="1:3" x14ac:dyDescent="0.25">
      <c r="A164" s="23">
        <v>44299</v>
      </c>
      <c r="B164" t="str">
        <f>VLOOKUP('Clean data'!F:F,Dim_table!A:C,3,FALSE)</f>
        <v>PER-008</v>
      </c>
      <c r="C164">
        <v>-100.9</v>
      </c>
    </row>
    <row r="165" spans="1:3" x14ac:dyDescent="0.25">
      <c r="A165" s="23">
        <v>44299</v>
      </c>
      <c r="B165" t="str">
        <f>VLOOKUP('Clean data'!F:F,Dim_table!A:C,3,FALSE)</f>
        <v>FOO-003</v>
      </c>
      <c r="C165">
        <v>-54.9</v>
      </c>
    </row>
    <row r="166" spans="1:3" x14ac:dyDescent="0.25">
      <c r="A166" s="23">
        <v>44300</v>
      </c>
      <c r="B166" t="str">
        <f>VLOOKUP('Clean data'!F:F,Dim_table!A:C,3,FALSE)</f>
        <v>TRA-004</v>
      </c>
      <c r="C166">
        <v>-31</v>
      </c>
    </row>
    <row r="167" spans="1:3" x14ac:dyDescent="0.25">
      <c r="A167" s="23">
        <v>44301</v>
      </c>
      <c r="B167" t="str">
        <f>VLOOKUP('Clean data'!F:F,Dim_table!A:C,3,FALSE)</f>
        <v>PVE-010</v>
      </c>
      <c r="C167">
        <v>2340</v>
      </c>
    </row>
    <row r="168" spans="1:3" x14ac:dyDescent="0.25">
      <c r="A168" s="23">
        <v>44301</v>
      </c>
      <c r="B168" t="str">
        <f>VLOOKUP('Clean data'!F:F,Dim_table!A:C,3,FALSE)</f>
        <v>FOO-003</v>
      </c>
      <c r="C168">
        <v>-5</v>
      </c>
    </row>
    <row r="169" spans="1:3" x14ac:dyDescent="0.25">
      <c r="A169" s="23">
        <v>44302</v>
      </c>
      <c r="B169" t="str">
        <f>VLOOKUP('Clean data'!F:F,Dim_table!A:C,3,FALSE)</f>
        <v>FOO-003</v>
      </c>
      <c r="C169">
        <v>-5</v>
      </c>
    </row>
    <row r="170" spans="1:3" x14ac:dyDescent="0.25">
      <c r="A170" s="23">
        <v>44302</v>
      </c>
      <c r="B170" t="str">
        <f>VLOOKUP('Clean data'!F:F,Dim_table!A:C,3,FALSE)</f>
        <v>UTI-005</v>
      </c>
      <c r="C170">
        <v>-40</v>
      </c>
    </row>
    <row r="171" spans="1:3" x14ac:dyDescent="0.25">
      <c r="A171" s="23">
        <v>44303</v>
      </c>
      <c r="B171" t="str">
        <f>VLOOKUP('Clean data'!F:F,Dim_table!A:C,3,FALSE)</f>
        <v>PER-008</v>
      </c>
      <c r="C171">
        <v>-47.9</v>
      </c>
    </row>
    <row r="172" spans="1:3" x14ac:dyDescent="0.25">
      <c r="A172" s="23">
        <v>44303</v>
      </c>
      <c r="B172" t="str">
        <f>VLOOKUP('Clean data'!F:F,Dim_table!A:C,3,FALSE)</f>
        <v>ENT-006</v>
      </c>
      <c r="C172">
        <v>-35</v>
      </c>
    </row>
    <row r="173" spans="1:3" x14ac:dyDescent="0.25">
      <c r="A173" s="23">
        <v>44303</v>
      </c>
      <c r="B173" t="str">
        <f>VLOOKUP('Clean data'!F:F,Dim_table!A:C,3,FALSE)</f>
        <v>FOO-003</v>
      </c>
      <c r="C173">
        <v>-5</v>
      </c>
    </row>
    <row r="174" spans="1:3" x14ac:dyDescent="0.25">
      <c r="A174" s="23">
        <v>44304</v>
      </c>
      <c r="B174" t="str">
        <f>VLOOKUP('Clean data'!F:F,Dim_table!A:C,3,FALSE)</f>
        <v>FOO-003</v>
      </c>
      <c r="C174">
        <v>-5</v>
      </c>
    </row>
    <row r="175" spans="1:3" x14ac:dyDescent="0.25">
      <c r="A175" s="23">
        <v>44305</v>
      </c>
      <c r="B175" t="str">
        <f>VLOOKUP('Clean data'!F:F,Dim_table!A:C,3,FALSE)</f>
        <v>FOO-003</v>
      </c>
      <c r="C175">
        <v>-5</v>
      </c>
    </row>
    <row r="176" spans="1:3" x14ac:dyDescent="0.25">
      <c r="A176" s="23">
        <v>44305</v>
      </c>
      <c r="B176" t="str">
        <f>VLOOKUP('Clean data'!F:F,Dim_table!A:C,3,FALSE)</f>
        <v>FOO-003</v>
      </c>
      <c r="C176">
        <v>-173</v>
      </c>
    </row>
    <row r="177" spans="1:3" x14ac:dyDescent="0.25">
      <c r="A177" s="23">
        <v>44306</v>
      </c>
      <c r="B177" t="str">
        <f>VLOOKUP('Clean data'!F:F,Dim_table!A:C,3,FALSE)</f>
        <v>FOO-003</v>
      </c>
      <c r="C177">
        <v>-40.1</v>
      </c>
    </row>
    <row r="178" spans="1:3" x14ac:dyDescent="0.25">
      <c r="A178" s="23">
        <v>44307</v>
      </c>
      <c r="B178" t="str">
        <f>VLOOKUP('Clean data'!F:F,Dim_table!A:C,3,FALSE)</f>
        <v>FOO-003</v>
      </c>
      <c r="C178">
        <v>-15.1</v>
      </c>
    </row>
    <row r="179" spans="1:3" x14ac:dyDescent="0.25">
      <c r="A179" s="23">
        <v>44308</v>
      </c>
      <c r="B179" t="str">
        <f>VLOOKUP('Clean data'!F:F,Dim_table!A:C,3,FALSE)</f>
        <v>PER-008</v>
      </c>
      <c r="C179">
        <v>-55</v>
      </c>
    </row>
    <row r="180" spans="1:3" x14ac:dyDescent="0.25">
      <c r="A180" s="23">
        <v>44308</v>
      </c>
      <c r="B180" t="str">
        <f>VLOOKUP('Clean data'!F:F,Dim_table!A:C,3,FALSE)</f>
        <v>TRA-004</v>
      </c>
      <c r="C180">
        <v>-66</v>
      </c>
    </row>
    <row r="181" spans="1:3" x14ac:dyDescent="0.25">
      <c r="A181" s="23">
        <v>44308</v>
      </c>
      <c r="B181" t="str">
        <f>VLOOKUP('Clean data'!F:F,Dim_table!A:C,3,FALSE)</f>
        <v>FOO-003</v>
      </c>
      <c r="C181">
        <v>-5</v>
      </c>
    </row>
    <row r="182" spans="1:3" x14ac:dyDescent="0.25">
      <c r="A182" s="23">
        <v>44309</v>
      </c>
      <c r="B182" t="str">
        <f>VLOOKUP('Clean data'!F:F,Dim_table!A:C,3,FALSE)</f>
        <v>FOO-003</v>
      </c>
      <c r="C182">
        <v>-5</v>
      </c>
    </row>
    <row r="183" spans="1:3" x14ac:dyDescent="0.25">
      <c r="A183" s="23">
        <v>44310</v>
      </c>
      <c r="B183" t="str">
        <f>VLOOKUP('Clean data'!F:F,Dim_table!A:C,3,FALSE)</f>
        <v>FOO-003</v>
      </c>
      <c r="C183">
        <v>-5</v>
      </c>
    </row>
    <row r="184" spans="1:3" x14ac:dyDescent="0.25">
      <c r="A184" s="23">
        <v>44311</v>
      </c>
      <c r="B184" t="str">
        <f>VLOOKUP('Clean data'!F:F,Dim_table!A:C,3,FALSE)</f>
        <v>FOO-003</v>
      </c>
      <c r="C184">
        <v>-5</v>
      </c>
    </row>
    <row r="185" spans="1:3" x14ac:dyDescent="0.25">
      <c r="A185" s="23">
        <v>44312</v>
      </c>
      <c r="B185" t="str">
        <f>VLOOKUP('Clean data'!F:F,Dim_table!A:C,3,FALSE)</f>
        <v>FOO-003</v>
      </c>
      <c r="C185">
        <v>-5</v>
      </c>
    </row>
    <row r="186" spans="1:3" x14ac:dyDescent="0.25">
      <c r="A186" s="23">
        <v>44312</v>
      </c>
      <c r="B186" t="str">
        <f>VLOOKUP('Clean data'!F:F,Dim_table!A:C,3,FALSE)</f>
        <v>FOO-003</v>
      </c>
      <c r="C186">
        <v>-164.9</v>
      </c>
    </row>
    <row r="187" spans="1:3" x14ac:dyDescent="0.25">
      <c r="A187" s="23">
        <v>44313</v>
      </c>
      <c r="B187" t="str">
        <f>VLOOKUP('Clean data'!F:F,Dim_table!A:C,3,FALSE)</f>
        <v>PER-008</v>
      </c>
      <c r="C187">
        <v>-127.9</v>
      </c>
    </row>
    <row r="188" spans="1:3" x14ac:dyDescent="0.25">
      <c r="A188" s="23">
        <v>44313</v>
      </c>
      <c r="B188" t="str">
        <f>VLOOKUP('Clean data'!F:F,Dim_table!A:C,3,FALSE)</f>
        <v>ENT-006</v>
      </c>
      <c r="C188">
        <v>-300</v>
      </c>
    </row>
    <row r="189" spans="1:3" x14ac:dyDescent="0.25">
      <c r="A189" s="23">
        <v>44314</v>
      </c>
      <c r="B189" t="str">
        <f>VLOOKUP('Clean data'!F:F,Dim_table!A:C,3,FALSE)</f>
        <v>PER-008</v>
      </c>
      <c r="C189">
        <v>-148.1</v>
      </c>
    </row>
    <row r="190" spans="1:3" x14ac:dyDescent="0.25">
      <c r="A190" s="23">
        <v>44314</v>
      </c>
      <c r="B190" t="str">
        <f>VLOOKUP('Clean data'!F:F,Dim_table!A:C,3,FALSE)</f>
        <v>TRA-004</v>
      </c>
      <c r="C190">
        <v>-26.1</v>
      </c>
    </row>
    <row r="191" spans="1:3" x14ac:dyDescent="0.25">
      <c r="A191" s="23">
        <v>44315</v>
      </c>
      <c r="B191" t="str">
        <f>VLOOKUP('Clean data'!F:F,Dim_table!A:C,3,FALSE)</f>
        <v>FOO-003</v>
      </c>
      <c r="C191">
        <v>-15</v>
      </c>
    </row>
    <row r="192" spans="1:3" x14ac:dyDescent="0.25">
      <c r="A192" s="23">
        <v>44315</v>
      </c>
      <c r="B192" t="str">
        <f>VLOOKUP('Clean data'!F:F,Dim_table!A:C,3,FALSE)</f>
        <v>FOO-003</v>
      </c>
      <c r="C192">
        <v>-5</v>
      </c>
    </row>
    <row r="193" spans="1:3" x14ac:dyDescent="0.25">
      <c r="A193" s="23">
        <v>44316</v>
      </c>
      <c r="B193" t="str">
        <f>VLOOKUP('Clean data'!F:F,Dim_table!A:C,3,FALSE)</f>
        <v>FOO-003</v>
      </c>
      <c r="C193">
        <v>-5</v>
      </c>
    </row>
    <row r="194" spans="1:3" x14ac:dyDescent="0.25">
      <c r="A194" s="23">
        <v>44318</v>
      </c>
      <c r="B194" t="str">
        <f>VLOOKUP('Clean data'!F:F,Dim_table!A:C,3,FALSE)</f>
        <v>FOO-003</v>
      </c>
      <c r="C194">
        <v>-5</v>
      </c>
    </row>
    <row r="195" spans="1:3" x14ac:dyDescent="0.25">
      <c r="A195" s="23">
        <v>44319</v>
      </c>
      <c r="B195" t="str">
        <f>VLOOKUP('Clean data'!F:F,Dim_table!A:C,3,FALSE)</f>
        <v>SAL-001</v>
      </c>
      <c r="C195">
        <v>5000</v>
      </c>
    </row>
    <row r="196" spans="1:3" x14ac:dyDescent="0.25">
      <c r="A196" s="23">
        <v>44319</v>
      </c>
      <c r="B196" t="str">
        <f>VLOOKUP('Clean data'!F:F,Dim_table!A:C,3,FALSE)</f>
        <v>HOU-002</v>
      </c>
      <c r="C196">
        <v>-900</v>
      </c>
    </row>
    <row r="197" spans="1:3" x14ac:dyDescent="0.25">
      <c r="A197" s="23">
        <v>44319</v>
      </c>
      <c r="B197" t="str">
        <f>VLOOKUP('Clean data'!F:F,Dim_table!A:C,3,FALSE)</f>
        <v>LOA-009</v>
      </c>
      <c r="C197">
        <v>-150</v>
      </c>
    </row>
    <row r="198" spans="1:3" x14ac:dyDescent="0.25">
      <c r="A198" s="23">
        <v>44319</v>
      </c>
      <c r="B198" t="str">
        <f>VLOOKUP('Clean data'!F:F,Dim_table!A:C,3,FALSE)</f>
        <v>FOO-003</v>
      </c>
      <c r="C198">
        <v>-5</v>
      </c>
    </row>
    <row r="199" spans="1:3" x14ac:dyDescent="0.25">
      <c r="A199" s="23">
        <v>44320</v>
      </c>
      <c r="B199" t="str">
        <f>VLOOKUP('Clean data'!F:F,Dim_table!A:C,3,FALSE)</f>
        <v>FOO-003</v>
      </c>
      <c r="C199">
        <v>-5</v>
      </c>
    </row>
    <row r="200" spans="1:3" x14ac:dyDescent="0.25">
      <c r="A200" s="23">
        <v>44321</v>
      </c>
      <c r="B200" t="str">
        <f>VLOOKUP('Clean data'!F:F,Dim_table!A:C,3,FALSE)</f>
        <v>FOO-003</v>
      </c>
      <c r="C200">
        <v>-5</v>
      </c>
    </row>
    <row r="201" spans="1:3" x14ac:dyDescent="0.25">
      <c r="A201" s="23">
        <v>44322</v>
      </c>
      <c r="B201" t="str">
        <f>VLOOKUP('Clean data'!F:F,Dim_table!A:C,3,FALSE)</f>
        <v>FOO-003</v>
      </c>
      <c r="C201">
        <v>-5</v>
      </c>
    </row>
    <row r="202" spans="1:3" x14ac:dyDescent="0.25">
      <c r="A202" s="23">
        <v>44322</v>
      </c>
      <c r="B202" t="str">
        <f>VLOOKUP('Clean data'!F:F,Dim_table!A:C,3,FALSE)</f>
        <v>FOO-003</v>
      </c>
      <c r="C202">
        <v>-170</v>
      </c>
    </row>
    <row r="203" spans="1:3" x14ac:dyDescent="0.25">
      <c r="A203" s="23">
        <v>44325</v>
      </c>
      <c r="B203" t="str">
        <f>VLOOKUP('Clean data'!F:F,Dim_table!A:C,3,FALSE)</f>
        <v>FOO-003</v>
      </c>
      <c r="C203">
        <v>-54.1</v>
      </c>
    </row>
    <row r="204" spans="1:3" x14ac:dyDescent="0.25">
      <c r="A204" s="23">
        <v>44325</v>
      </c>
      <c r="B204" t="str">
        <f>VLOOKUP('Clean data'!F:F,Dim_table!A:C,3,FALSE)</f>
        <v>FOO-003</v>
      </c>
      <c r="C204">
        <v>-5</v>
      </c>
    </row>
    <row r="205" spans="1:3" x14ac:dyDescent="0.25">
      <c r="A205" s="23">
        <v>44326</v>
      </c>
      <c r="B205" t="str">
        <f>VLOOKUP('Clean data'!F:F,Dim_table!A:C,3,FALSE)</f>
        <v>FOO-003</v>
      </c>
      <c r="C205">
        <v>-5</v>
      </c>
    </row>
    <row r="206" spans="1:3" x14ac:dyDescent="0.25">
      <c r="A206" s="23">
        <v>44327</v>
      </c>
      <c r="B206" t="str">
        <f>VLOOKUP('Clean data'!F:F,Dim_table!A:C,3,FALSE)</f>
        <v>TRA-004</v>
      </c>
      <c r="C206">
        <v>-81</v>
      </c>
    </row>
    <row r="207" spans="1:3" x14ac:dyDescent="0.25">
      <c r="A207" s="23">
        <v>44327</v>
      </c>
      <c r="B207" t="str">
        <f>VLOOKUP('Clean data'!F:F,Dim_table!A:C,3,FALSE)</f>
        <v>FOO-003</v>
      </c>
      <c r="C207">
        <v>-5</v>
      </c>
    </row>
    <row r="208" spans="1:3" x14ac:dyDescent="0.25">
      <c r="A208" s="23">
        <v>44328</v>
      </c>
      <c r="B208" t="str">
        <f>VLOOKUP('Clean data'!F:F,Dim_table!A:C,3,FALSE)</f>
        <v>FOO-003</v>
      </c>
      <c r="C208">
        <v>-5</v>
      </c>
    </row>
    <row r="209" spans="1:3" x14ac:dyDescent="0.25">
      <c r="A209" s="23">
        <v>44329</v>
      </c>
      <c r="B209" t="str">
        <f>VLOOKUP('Clean data'!F:F,Dim_table!A:C,3,FALSE)</f>
        <v>FOO-003</v>
      </c>
      <c r="C209">
        <v>-139.1</v>
      </c>
    </row>
    <row r="210" spans="1:3" x14ac:dyDescent="0.25">
      <c r="A210" s="23">
        <v>44329</v>
      </c>
      <c r="B210" t="str">
        <f>VLOOKUP('Clean data'!F:F,Dim_table!A:C,3,FALSE)</f>
        <v>FOO-003</v>
      </c>
      <c r="C210">
        <v>-5</v>
      </c>
    </row>
    <row r="211" spans="1:3" x14ac:dyDescent="0.25">
      <c r="A211" s="23">
        <v>44330</v>
      </c>
      <c r="B211" t="str">
        <f>VLOOKUP('Clean data'!F:F,Dim_table!A:C,3,FALSE)</f>
        <v>FOO-003</v>
      </c>
      <c r="C211">
        <v>-5</v>
      </c>
    </row>
    <row r="212" spans="1:3" x14ac:dyDescent="0.25">
      <c r="A212" s="23">
        <v>44330</v>
      </c>
      <c r="B212" t="str">
        <f>VLOOKUP('Clean data'!F:F,Dim_table!A:C,3,FALSE)</f>
        <v>ENT-006</v>
      </c>
      <c r="C212">
        <v>-43.9</v>
      </c>
    </row>
    <row r="213" spans="1:3" x14ac:dyDescent="0.25">
      <c r="A213" s="23">
        <v>44330</v>
      </c>
      <c r="B213" t="str">
        <f>VLOOKUP('Clean data'!F:F,Dim_table!A:C,3,FALSE)</f>
        <v>PER-008</v>
      </c>
      <c r="C213">
        <v>-101.80000000000001</v>
      </c>
    </row>
    <row r="214" spans="1:3" x14ac:dyDescent="0.25">
      <c r="A214" s="23">
        <v>44330</v>
      </c>
      <c r="B214" t="str">
        <f>VLOOKUP('Clean data'!F:F,Dim_table!A:C,3,FALSE)</f>
        <v>FOO-003</v>
      </c>
      <c r="C214">
        <v>-55.9</v>
      </c>
    </row>
    <row r="215" spans="1:3" x14ac:dyDescent="0.25">
      <c r="A215" s="23">
        <v>44331</v>
      </c>
      <c r="B215" t="str">
        <f>VLOOKUP('Clean data'!F:F,Dim_table!A:C,3,FALSE)</f>
        <v>TRA-004</v>
      </c>
      <c r="C215">
        <v>-32</v>
      </c>
    </row>
    <row r="216" spans="1:3" x14ac:dyDescent="0.25">
      <c r="A216" s="23">
        <v>44332</v>
      </c>
      <c r="B216" t="str">
        <f>VLOOKUP('Clean data'!F:F,Dim_table!A:C,3,FALSE)</f>
        <v>PVE-010</v>
      </c>
      <c r="C216">
        <v>1000</v>
      </c>
    </row>
    <row r="217" spans="1:3" x14ac:dyDescent="0.25">
      <c r="A217" s="23">
        <v>44332</v>
      </c>
      <c r="B217" t="str">
        <f>VLOOKUP('Clean data'!F:F,Dim_table!A:C,3,FALSE)</f>
        <v>FOO-003</v>
      </c>
      <c r="C217">
        <v>-5</v>
      </c>
    </row>
    <row r="218" spans="1:3" x14ac:dyDescent="0.25">
      <c r="A218" s="23">
        <v>44333</v>
      </c>
      <c r="B218" t="str">
        <f>VLOOKUP('Clean data'!F:F,Dim_table!A:C,3,FALSE)</f>
        <v>FOO-003</v>
      </c>
      <c r="C218">
        <v>-5</v>
      </c>
    </row>
    <row r="219" spans="1:3" x14ac:dyDescent="0.25">
      <c r="A219" s="23">
        <v>44333</v>
      </c>
      <c r="B219" t="str">
        <f>VLOOKUP('Clean data'!F:F,Dim_table!A:C,3,FALSE)</f>
        <v>MED-007</v>
      </c>
      <c r="C219">
        <v>-75</v>
      </c>
    </row>
    <row r="220" spans="1:3" x14ac:dyDescent="0.25">
      <c r="A220" s="23">
        <v>44333</v>
      </c>
      <c r="B220" t="str">
        <f>VLOOKUP('Clean data'!F:F,Dim_table!A:C,3,FALSE)</f>
        <v>UTI-005</v>
      </c>
      <c r="C220">
        <v>-40</v>
      </c>
    </row>
    <row r="221" spans="1:3" x14ac:dyDescent="0.25">
      <c r="A221" s="23">
        <v>44334</v>
      </c>
      <c r="B221" t="str">
        <f>VLOOKUP('Clean data'!F:F,Dim_table!A:C,3,FALSE)</f>
        <v>PER-008</v>
      </c>
      <c r="C221">
        <v>-49</v>
      </c>
    </row>
    <row r="222" spans="1:3" x14ac:dyDescent="0.25">
      <c r="A222" s="23">
        <v>44334</v>
      </c>
      <c r="B222" t="str">
        <f>VLOOKUP('Clean data'!F:F,Dim_table!A:C,3,FALSE)</f>
        <v>ENT-006</v>
      </c>
      <c r="C222">
        <v>-35</v>
      </c>
    </row>
    <row r="223" spans="1:3" x14ac:dyDescent="0.25">
      <c r="A223" s="23">
        <v>44334</v>
      </c>
      <c r="B223" t="str">
        <f>VLOOKUP('Clean data'!F:F,Dim_table!A:C,3,FALSE)</f>
        <v>FOO-003</v>
      </c>
      <c r="C223">
        <v>-5</v>
      </c>
    </row>
    <row r="224" spans="1:3" x14ac:dyDescent="0.25">
      <c r="A224" s="23">
        <v>44335</v>
      </c>
      <c r="B224" t="str">
        <f>VLOOKUP('Clean data'!F:F,Dim_table!A:C,3,FALSE)</f>
        <v>FOO-003</v>
      </c>
      <c r="C224">
        <v>-5</v>
      </c>
    </row>
    <row r="225" spans="1:3" x14ac:dyDescent="0.25">
      <c r="A225" s="23">
        <v>44336</v>
      </c>
      <c r="B225" t="str">
        <f>VLOOKUP('Clean data'!F:F,Dim_table!A:C,3,FALSE)</f>
        <v>FOO-003</v>
      </c>
      <c r="C225">
        <v>-5</v>
      </c>
    </row>
    <row r="226" spans="1:3" x14ac:dyDescent="0.25">
      <c r="A226" s="23">
        <v>44336</v>
      </c>
      <c r="B226" t="str">
        <f>VLOOKUP('Clean data'!F:F,Dim_table!A:C,3,FALSE)</f>
        <v>FOO-003</v>
      </c>
      <c r="C226">
        <v>-174</v>
      </c>
    </row>
    <row r="227" spans="1:3" x14ac:dyDescent="0.25">
      <c r="A227" s="23">
        <v>44337</v>
      </c>
      <c r="B227" t="str">
        <f>VLOOKUP('Clean data'!F:F,Dim_table!A:C,3,FALSE)</f>
        <v>FOO-003</v>
      </c>
      <c r="C227">
        <v>-41.1</v>
      </c>
    </row>
    <row r="228" spans="1:3" x14ac:dyDescent="0.25">
      <c r="A228" s="23">
        <v>44338</v>
      </c>
      <c r="B228" t="str">
        <f>VLOOKUP('Clean data'!F:F,Dim_table!A:C,3,FALSE)</f>
        <v>FOO-003</v>
      </c>
      <c r="C228">
        <v>-16.2</v>
      </c>
    </row>
    <row r="229" spans="1:3" x14ac:dyDescent="0.25">
      <c r="A229" s="23">
        <v>44339</v>
      </c>
      <c r="B229" t="str">
        <f>VLOOKUP('Clean data'!F:F,Dim_table!A:C,3,FALSE)</f>
        <v>PER-008</v>
      </c>
      <c r="C229">
        <v>-55</v>
      </c>
    </row>
    <row r="230" spans="1:3" x14ac:dyDescent="0.25">
      <c r="A230" s="23">
        <v>44339</v>
      </c>
      <c r="B230" t="str">
        <f>VLOOKUP('Clean data'!F:F,Dim_table!A:C,3,FALSE)</f>
        <v>TRA-004</v>
      </c>
      <c r="C230">
        <v>-67</v>
      </c>
    </row>
    <row r="231" spans="1:3" x14ac:dyDescent="0.25">
      <c r="A231" s="23">
        <v>44339</v>
      </c>
      <c r="B231" t="str">
        <f>VLOOKUP('Clean data'!F:F,Dim_table!A:C,3,FALSE)</f>
        <v>FOO-003</v>
      </c>
      <c r="C231">
        <v>-5</v>
      </c>
    </row>
    <row r="232" spans="1:3" x14ac:dyDescent="0.25">
      <c r="A232" s="23">
        <v>44340</v>
      </c>
      <c r="B232" t="str">
        <f>VLOOKUP('Clean data'!F:F,Dim_table!A:C,3,FALSE)</f>
        <v>FOO-003</v>
      </c>
      <c r="C232">
        <v>-5</v>
      </c>
    </row>
    <row r="233" spans="1:3" x14ac:dyDescent="0.25">
      <c r="A233" s="23">
        <v>44341</v>
      </c>
      <c r="B233" t="str">
        <f>VLOOKUP('Clean data'!F:F,Dim_table!A:C,3,FALSE)</f>
        <v>FOO-003</v>
      </c>
      <c r="C233">
        <v>-5</v>
      </c>
    </row>
    <row r="234" spans="1:3" x14ac:dyDescent="0.25">
      <c r="A234" s="23">
        <v>44342</v>
      </c>
      <c r="B234" t="str">
        <f>VLOOKUP('Clean data'!F:F,Dim_table!A:C,3,FALSE)</f>
        <v>FOO-003</v>
      </c>
      <c r="C234">
        <v>-5</v>
      </c>
    </row>
    <row r="235" spans="1:3" x14ac:dyDescent="0.25">
      <c r="A235" s="23">
        <v>44343</v>
      </c>
      <c r="B235" t="str">
        <f>VLOOKUP('Clean data'!F:F,Dim_table!A:C,3,FALSE)</f>
        <v>FOO-003</v>
      </c>
      <c r="C235">
        <v>-5</v>
      </c>
    </row>
    <row r="236" spans="1:3" x14ac:dyDescent="0.25">
      <c r="A236" s="23">
        <v>44343</v>
      </c>
      <c r="B236" t="str">
        <f>VLOOKUP('Clean data'!F:F,Dim_table!A:C,3,FALSE)</f>
        <v>FOO-003</v>
      </c>
      <c r="C236">
        <v>-165.8</v>
      </c>
    </row>
    <row r="237" spans="1:3" x14ac:dyDescent="0.25">
      <c r="A237" s="23">
        <v>44344</v>
      </c>
      <c r="B237" t="str">
        <f>VLOOKUP('Clean data'!F:F,Dim_table!A:C,3,FALSE)</f>
        <v>PER-008</v>
      </c>
      <c r="C237">
        <v>-128.80000000000001</v>
      </c>
    </row>
    <row r="238" spans="1:3" x14ac:dyDescent="0.25">
      <c r="A238" s="23">
        <v>44344</v>
      </c>
      <c r="B238" t="str">
        <f>VLOOKUP('Clean data'!F:F,Dim_table!A:C,3,FALSE)</f>
        <v>HOU-002</v>
      </c>
      <c r="C238">
        <v>-235</v>
      </c>
    </row>
    <row r="239" spans="1:3" x14ac:dyDescent="0.25">
      <c r="A239" s="23">
        <v>44345</v>
      </c>
      <c r="B239" t="str">
        <f>VLOOKUP('Clean data'!F:F,Dim_table!A:C,3,FALSE)</f>
        <v>PER-008</v>
      </c>
      <c r="C239">
        <v>-149.19999999999999</v>
      </c>
    </row>
    <row r="240" spans="1:3" x14ac:dyDescent="0.25">
      <c r="A240" s="23">
        <v>44345</v>
      </c>
      <c r="B240" t="str">
        <f>VLOOKUP('Clean data'!F:F,Dim_table!A:C,3,FALSE)</f>
        <v>TRA-004</v>
      </c>
      <c r="C240">
        <v>-27.200000000000003</v>
      </c>
    </row>
    <row r="241" spans="1:3" x14ac:dyDescent="0.25">
      <c r="A241" s="23">
        <v>44347</v>
      </c>
      <c r="B241" t="str">
        <f>VLOOKUP('Clean data'!F:F,Dim_table!A:C,3,FALSE)</f>
        <v>FOO-003</v>
      </c>
      <c r="C241">
        <v>-15</v>
      </c>
    </row>
    <row r="242" spans="1:3" x14ac:dyDescent="0.25">
      <c r="A242" s="23">
        <v>44346</v>
      </c>
      <c r="B242" t="str">
        <f>VLOOKUP('Clean data'!F:F,Dim_table!A:C,3,FALSE)</f>
        <v>FOO-003</v>
      </c>
      <c r="C242">
        <v>-5</v>
      </c>
    </row>
    <row r="243" spans="1:3" x14ac:dyDescent="0.25">
      <c r="A243" s="23">
        <v>44347</v>
      </c>
      <c r="B243" t="str">
        <f>VLOOKUP('Clean data'!F:F,Dim_table!A:C,3,FALSE)</f>
        <v>FOO-003</v>
      </c>
      <c r="C243">
        <v>-5</v>
      </c>
    </row>
    <row r="244" spans="1:3" x14ac:dyDescent="0.25">
      <c r="A244" s="23">
        <v>44348</v>
      </c>
      <c r="B244" t="str">
        <f>VLOOKUP('Clean data'!F:F,Dim_table!A:C,3,FALSE)</f>
        <v>SAL-001</v>
      </c>
      <c r="C244">
        <v>5000</v>
      </c>
    </row>
    <row r="245" spans="1:3" x14ac:dyDescent="0.25">
      <c r="A245" s="23">
        <v>44350</v>
      </c>
      <c r="B245" t="str">
        <f>VLOOKUP('Clean data'!F:F,Dim_table!A:C,3,FALSE)</f>
        <v>FOO-003</v>
      </c>
      <c r="C245">
        <v>-5</v>
      </c>
    </row>
    <row r="246" spans="1:3" x14ac:dyDescent="0.25">
      <c r="A246" s="23">
        <v>44350</v>
      </c>
      <c r="B246" t="str">
        <f>VLOOKUP('Clean data'!F:F,Dim_table!A:C,3,FALSE)</f>
        <v>HOU-002</v>
      </c>
      <c r="C246">
        <v>-900</v>
      </c>
    </row>
    <row r="247" spans="1:3" x14ac:dyDescent="0.25">
      <c r="A247" s="23">
        <v>44350</v>
      </c>
      <c r="B247" t="str">
        <f>VLOOKUP('Clean data'!F:F,Dim_table!A:C,3,FALSE)</f>
        <v>LOA-009</v>
      </c>
      <c r="C247">
        <v>-150</v>
      </c>
    </row>
    <row r="248" spans="1:3" x14ac:dyDescent="0.25">
      <c r="A248" s="23">
        <v>44350</v>
      </c>
      <c r="B248" t="str">
        <f>VLOOKUP('Clean data'!F:F,Dim_table!A:C,3,FALSE)</f>
        <v>FOO-003</v>
      </c>
      <c r="C248">
        <v>-5</v>
      </c>
    </row>
    <row r="249" spans="1:3" x14ac:dyDescent="0.25">
      <c r="A249" s="23">
        <v>44351</v>
      </c>
      <c r="B249" t="str">
        <f>VLOOKUP('Clean data'!F:F,Dim_table!A:C,3,FALSE)</f>
        <v>FOO-003</v>
      </c>
      <c r="C249">
        <v>-5</v>
      </c>
    </row>
    <row r="250" spans="1:3" x14ac:dyDescent="0.25">
      <c r="A250" s="23">
        <v>44352</v>
      </c>
      <c r="B250" t="str">
        <f>VLOOKUP('Clean data'!F:F,Dim_table!A:C,3,FALSE)</f>
        <v>FOO-003</v>
      </c>
      <c r="C250">
        <v>-5</v>
      </c>
    </row>
    <row r="251" spans="1:3" x14ac:dyDescent="0.25">
      <c r="A251" s="23">
        <v>44353</v>
      </c>
      <c r="B251" t="str">
        <f>VLOOKUP('Clean data'!F:F,Dim_table!A:C,3,FALSE)</f>
        <v>FOO-003</v>
      </c>
      <c r="C251">
        <v>-5</v>
      </c>
    </row>
    <row r="252" spans="1:3" x14ac:dyDescent="0.25">
      <c r="A252" s="23">
        <v>44353</v>
      </c>
      <c r="B252" t="str">
        <f>VLOOKUP('Clean data'!F:F,Dim_table!A:C,3,FALSE)</f>
        <v>FOO-003</v>
      </c>
      <c r="C252">
        <v>-119</v>
      </c>
    </row>
    <row r="253" spans="1:3" x14ac:dyDescent="0.25">
      <c r="A253" s="23">
        <v>44356</v>
      </c>
      <c r="B253" t="str">
        <f>VLOOKUP('Clean data'!F:F,Dim_table!A:C,3,FALSE)</f>
        <v>FOO-003</v>
      </c>
      <c r="C253">
        <v>-55</v>
      </c>
    </row>
    <row r="254" spans="1:3" x14ac:dyDescent="0.25">
      <c r="A254" s="23">
        <v>44356</v>
      </c>
      <c r="B254" t="str">
        <f>VLOOKUP('Clean data'!F:F,Dim_table!A:C,3,FALSE)</f>
        <v>FOO-003</v>
      </c>
      <c r="C254">
        <v>-5</v>
      </c>
    </row>
    <row r="255" spans="1:3" x14ac:dyDescent="0.25">
      <c r="A255" s="23">
        <v>44357</v>
      </c>
      <c r="B255" t="str">
        <f>VLOOKUP('Clean data'!F:F,Dim_table!A:C,3,FALSE)</f>
        <v>FOO-003</v>
      </c>
      <c r="C255">
        <v>-5</v>
      </c>
    </row>
    <row r="256" spans="1:3" x14ac:dyDescent="0.25">
      <c r="A256" s="23">
        <v>44358</v>
      </c>
      <c r="B256" t="str">
        <f>VLOOKUP('Clean data'!F:F,Dim_table!A:C,3,FALSE)</f>
        <v>TRA-004</v>
      </c>
      <c r="C256">
        <v>-82.1</v>
      </c>
    </row>
    <row r="257" spans="1:3" x14ac:dyDescent="0.25">
      <c r="A257" s="23">
        <v>44358</v>
      </c>
      <c r="B257" t="str">
        <f>VLOOKUP('Clean data'!F:F,Dim_table!A:C,3,FALSE)</f>
        <v>FOO-003</v>
      </c>
      <c r="C257">
        <v>-5</v>
      </c>
    </row>
    <row r="258" spans="1:3" x14ac:dyDescent="0.25">
      <c r="A258" s="23">
        <v>44359</v>
      </c>
      <c r="B258" t="str">
        <f>VLOOKUP('Clean data'!F:F,Dim_table!A:C,3,FALSE)</f>
        <v>FOO-003</v>
      </c>
      <c r="C258">
        <v>-5</v>
      </c>
    </row>
    <row r="259" spans="1:3" x14ac:dyDescent="0.25">
      <c r="A259" s="23">
        <v>44360</v>
      </c>
      <c r="B259" t="str">
        <f>VLOOKUP('Clean data'!F:F,Dim_table!A:C,3,FALSE)</f>
        <v>FOO-003</v>
      </c>
      <c r="C259">
        <v>-140.19999999999999</v>
      </c>
    </row>
    <row r="260" spans="1:3" x14ac:dyDescent="0.25">
      <c r="A260" s="23">
        <v>44360</v>
      </c>
      <c r="B260" t="str">
        <f>VLOOKUP('Clean data'!F:F,Dim_table!A:C,3,FALSE)</f>
        <v>FOO-003</v>
      </c>
      <c r="C260">
        <v>-5</v>
      </c>
    </row>
    <row r="261" spans="1:3" x14ac:dyDescent="0.25">
      <c r="A261" s="23">
        <v>44361</v>
      </c>
      <c r="B261" t="str">
        <f>VLOOKUP('Clean data'!F:F,Dim_table!A:C,3,FALSE)</f>
        <v>FOO-003</v>
      </c>
      <c r="C261">
        <v>-5</v>
      </c>
    </row>
    <row r="262" spans="1:3" x14ac:dyDescent="0.25">
      <c r="A262" s="23">
        <v>44361</v>
      </c>
      <c r="B262" t="str">
        <f>VLOOKUP('Clean data'!F:F,Dim_table!A:C,3,FALSE)</f>
        <v>ENT-006</v>
      </c>
      <c r="C262">
        <v>-44.9</v>
      </c>
    </row>
    <row r="263" spans="1:3" x14ac:dyDescent="0.25">
      <c r="A263" s="23">
        <v>44361</v>
      </c>
      <c r="B263" t="str">
        <f>VLOOKUP('Clean data'!F:F,Dim_table!A:C,3,FALSE)</f>
        <v>PER-008</v>
      </c>
      <c r="C263">
        <v>-102.9</v>
      </c>
    </row>
    <row r="264" spans="1:3" x14ac:dyDescent="0.25">
      <c r="A264" s="23">
        <v>44361</v>
      </c>
      <c r="B264" t="str">
        <f>VLOOKUP('Clean data'!F:F,Dim_table!A:C,3,FALSE)</f>
        <v>FOO-003</v>
      </c>
      <c r="C264">
        <v>-56.9</v>
      </c>
    </row>
    <row r="265" spans="1:3" x14ac:dyDescent="0.25">
      <c r="A265" s="23">
        <v>44362</v>
      </c>
      <c r="B265" t="str">
        <f>VLOOKUP('Clean data'!F:F,Dim_table!A:C,3,FALSE)</f>
        <v>TRA-004</v>
      </c>
      <c r="C265">
        <v>-33.1</v>
      </c>
    </row>
    <row r="266" spans="1:3" x14ac:dyDescent="0.25">
      <c r="A266" s="23">
        <v>44363</v>
      </c>
      <c r="B266" t="str">
        <f>VLOOKUP('Clean data'!F:F,Dim_table!A:C,3,FALSE)</f>
        <v>PVE-010</v>
      </c>
      <c r="C266">
        <v>100</v>
      </c>
    </row>
    <row r="267" spans="1:3" x14ac:dyDescent="0.25">
      <c r="A267" s="23">
        <v>44363</v>
      </c>
      <c r="B267" t="str">
        <f>VLOOKUP('Clean data'!F:F,Dim_table!A:C,3,FALSE)</f>
        <v>FOO-003</v>
      </c>
      <c r="C267">
        <v>-5</v>
      </c>
    </row>
    <row r="268" spans="1:3" x14ac:dyDescent="0.25">
      <c r="A268" s="23">
        <v>44364</v>
      </c>
      <c r="B268" t="str">
        <f>VLOOKUP('Clean data'!F:F,Dim_table!A:C,3,FALSE)</f>
        <v>FOO-003</v>
      </c>
      <c r="C268">
        <v>-5</v>
      </c>
    </row>
    <row r="269" spans="1:3" x14ac:dyDescent="0.25">
      <c r="A269" s="23">
        <v>44364</v>
      </c>
      <c r="B269" t="str">
        <f>VLOOKUP('Clean data'!F:F,Dim_table!A:C,3,FALSE)</f>
        <v>UTI-005</v>
      </c>
      <c r="C269">
        <v>-40</v>
      </c>
    </row>
    <row r="270" spans="1:3" x14ac:dyDescent="0.25">
      <c r="A270" s="23">
        <v>44365</v>
      </c>
      <c r="B270" t="str">
        <f>VLOOKUP('Clean data'!F:F,Dim_table!A:C,3,FALSE)</f>
        <v>PER-008</v>
      </c>
      <c r="C270">
        <v>-50.1</v>
      </c>
    </row>
    <row r="271" spans="1:3" x14ac:dyDescent="0.25">
      <c r="A271" s="23">
        <v>44365</v>
      </c>
      <c r="B271" t="str">
        <f>VLOOKUP('Clean data'!F:F,Dim_table!A:C,3,FALSE)</f>
        <v>ENT-006</v>
      </c>
      <c r="C271">
        <v>-35</v>
      </c>
    </row>
    <row r="272" spans="1:3" x14ac:dyDescent="0.25">
      <c r="A272" s="23">
        <v>44365</v>
      </c>
      <c r="B272" t="str">
        <f>VLOOKUP('Clean data'!F:F,Dim_table!A:C,3,FALSE)</f>
        <v>FOO-003</v>
      </c>
      <c r="C272">
        <v>-5</v>
      </c>
    </row>
    <row r="273" spans="1:3" x14ac:dyDescent="0.25">
      <c r="A273" s="23">
        <v>44366</v>
      </c>
      <c r="B273" t="str">
        <f>VLOOKUP('Clean data'!F:F,Dim_table!A:C,3,FALSE)</f>
        <v>FOO-003</v>
      </c>
      <c r="C273">
        <v>-5</v>
      </c>
    </row>
    <row r="274" spans="1:3" x14ac:dyDescent="0.25">
      <c r="A274" s="23">
        <v>44367</v>
      </c>
      <c r="B274" t="str">
        <f>VLOOKUP('Clean data'!F:F,Dim_table!A:C,3,FALSE)</f>
        <v>FOO-003</v>
      </c>
      <c r="C274">
        <v>-5</v>
      </c>
    </row>
    <row r="275" spans="1:3" x14ac:dyDescent="0.25">
      <c r="A275" s="23">
        <v>44367</v>
      </c>
      <c r="B275" t="str">
        <f>VLOOKUP('Clean data'!F:F,Dim_table!A:C,3,FALSE)</f>
        <v>FOO-003</v>
      </c>
      <c r="C275">
        <v>-234</v>
      </c>
    </row>
    <row r="276" spans="1:3" x14ac:dyDescent="0.25">
      <c r="A276" s="23">
        <v>44368</v>
      </c>
      <c r="B276" t="str">
        <f>VLOOKUP('Clean data'!F:F,Dim_table!A:C,3,FALSE)</f>
        <v>FOO-003</v>
      </c>
      <c r="C276">
        <v>-42.1</v>
      </c>
    </row>
    <row r="277" spans="1:3" x14ac:dyDescent="0.25">
      <c r="A277" s="23">
        <v>44369</v>
      </c>
      <c r="B277" t="str">
        <f>VLOOKUP('Clean data'!F:F,Dim_table!A:C,3,FALSE)</f>
        <v>FOO-003</v>
      </c>
      <c r="C277">
        <v>-17.099999999999998</v>
      </c>
    </row>
    <row r="278" spans="1:3" x14ac:dyDescent="0.25">
      <c r="A278" s="23">
        <v>44370</v>
      </c>
      <c r="B278" t="str">
        <f>VLOOKUP('Clean data'!F:F,Dim_table!A:C,3,FALSE)</f>
        <v>PER-008</v>
      </c>
      <c r="C278">
        <v>-55</v>
      </c>
    </row>
    <row r="279" spans="1:3" x14ac:dyDescent="0.25">
      <c r="A279" s="23">
        <v>44370</v>
      </c>
      <c r="B279" t="str">
        <f>VLOOKUP('Clean data'!F:F,Dim_table!A:C,3,FALSE)</f>
        <v>TRA-004</v>
      </c>
      <c r="C279">
        <v>-67.900000000000006</v>
      </c>
    </row>
    <row r="280" spans="1:3" x14ac:dyDescent="0.25">
      <c r="A280" s="23">
        <v>44370</v>
      </c>
      <c r="B280" t="str">
        <f>VLOOKUP('Clean data'!F:F,Dim_table!A:C,3,FALSE)</f>
        <v>FOO-003</v>
      </c>
      <c r="C280">
        <v>-5</v>
      </c>
    </row>
    <row r="281" spans="1:3" x14ac:dyDescent="0.25">
      <c r="A281" s="23">
        <v>44371</v>
      </c>
      <c r="B281" t="str">
        <f>VLOOKUP('Clean data'!F:F,Dim_table!A:C,3,FALSE)</f>
        <v>FOO-003</v>
      </c>
      <c r="C281">
        <v>-5</v>
      </c>
    </row>
    <row r="282" spans="1:3" x14ac:dyDescent="0.25">
      <c r="A282" s="23">
        <v>44372</v>
      </c>
      <c r="B282" t="str">
        <f>VLOOKUP('Clean data'!F:F,Dim_table!A:C,3,FALSE)</f>
        <v>FOO-003</v>
      </c>
      <c r="C282">
        <v>-5</v>
      </c>
    </row>
    <row r="283" spans="1:3" x14ac:dyDescent="0.25">
      <c r="A283" s="23">
        <v>44373</v>
      </c>
      <c r="B283" t="str">
        <f>VLOOKUP('Clean data'!F:F,Dim_table!A:C,3,FALSE)</f>
        <v>FOO-003</v>
      </c>
      <c r="C283">
        <v>-5</v>
      </c>
    </row>
    <row r="284" spans="1:3" x14ac:dyDescent="0.25">
      <c r="A284" s="23">
        <v>44374</v>
      </c>
      <c r="B284" t="str">
        <f>VLOOKUP('Clean data'!F:F,Dim_table!A:C,3,FALSE)</f>
        <v>FOO-003</v>
      </c>
      <c r="C284">
        <v>-5</v>
      </c>
    </row>
    <row r="285" spans="1:3" x14ac:dyDescent="0.25">
      <c r="A285" s="23">
        <v>44374</v>
      </c>
      <c r="B285" t="str">
        <f>VLOOKUP('Clean data'!F:F,Dim_table!A:C,3,FALSE)</f>
        <v>FOO-003</v>
      </c>
      <c r="C285">
        <v>-166.9</v>
      </c>
    </row>
    <row r="286" spans="1:3" x14ac:dyDescent="0.25">
      <c r="A286" s="23">
        <v>44375</v>
      </c>
      <c r="B286" t="str">
        <f>VLOOKUP('Clean data'!F:F,Dim_table!A:C,3,FALSE)</f>
        <v>PER-008</v>
      </c>
      <c r="C286">
        <v>-129.9</v>
      </c>
    </row>
    <row r="287" spans="1:3" x14ac:dyDescent="0.25">
      <c r="A287" s="23">
        <v>44375</v>
      </c>
      <c r="B287" t="str">
        <f>VLOOKUP('Clean data'!F:F,Dim_table!A:C,3,FALSE)</f>
        <v>ENT-006</v>
      </c>
      <c r="C287">
        <v>-180.29999999999998</v>
      </c>
    </row>
    <row r="288" spans="1:3" x14ac:dyDescent="0.25">
      <c r="A288" s="23">
        <v>44376</v>
      </c>
      <c r="B288" t="str">
        <f>VLOOKUP('Clean data'!F:F,Dim_table!A:C,3,FALSE)</f>
        <v>PER-008</v>
      </c>
      <c r="C288">
        <v>-150.1</v>
      </c>
    </row>
    <row r="289" spans="1:3" x14ac:dyDescent="0.25">
      <c r="A289" s="23">
        <v>44376</v>
      </c>
      <c r="B289" t="str">
        <f>VLOOKUP('Clean data'!F:F,Dim_table!A:C,3,FALSE)</f>
        <v>TRA-004</v>
      </c>
      <c r="C289">
        <v>-28.200000000000003</v>
      </c>
    </row>
    <row r="290" spans="1:3" x14ac:dyDescent="0.25">
      <c r="A290" s="23">
        <v>44376</v>
      </c>
      <c r="B290" t="str">
        <f>VLOOKUP('Clean data'!F:F,Dim_table!A:C,3,FALSE)</f>
        <v>FOO-003</v>
      </c>
      <c r="C290">
        <v>-15</v>
      </c>
    </row>
    <row r="291" spans="1:3" x14ac:dyDescent="0.25">
      <c r="A291" s="23">
        <v>44377</v>
      </c>
      <c r="B291" t="str">
        <f>VLOOKUP('Clean data'!F:F,Dim_table!A:C,3,FALSE)</f>
        <v>FOO-003</v>
      </c>
      <c r="C291">
        <v>-5</v>
      </c>
    </row>
    <row r="292" spans="1:3" x14ac:dyDescent="0.25">
      <c r="A292" s="23">
        <v>44378</v>
      </c>
      <c r="B292" t="str">
        <f>VLOOKUP('Clean data'!F:F,Dim_table!A:C,3,FALSE)</f>
        <v>FOO-003</v>
      </c>
      <c r="C292">
        <v>-5</v>
      </c>
    </row>
    <row r="293" spans="1:3" x14ac:dyDescent="0.25">
      <c r="A293" s="23">
        <v>44379</v>
      </c>
      <c r="B293" t="str">
        <f>VLOOKUP('Clean data'!F:F,Dim_table!A:C,3,FALSE)</f>
        <v>SAL-001</v>
      </c>
      <c r="C293">
        <v>5000</v>
      </c>
    </row>
    <row r="294" spans="1:3" x14ac:dyDescent="0.25">
      <c r="A294" s="23">
        <v>44380</v>
      </c>
      <c r="B294" t="str">
        <f>VLOOKUP('Clean data'!F:F,Dim_table!A:C,3,FALSE)</f>
        <v>FOO-003</v>
      </c>
      <c r="C294">
        <v>-5</v>
      </c>
    </row>
    <row r="295" spans="1:3" x14ac:dyDescent="0.25">
      <c r="A295" s="23">
        <v>44382</v>
      </c>
      <c r="B295" t="str">
        <f>VLOOKUP('Clean data'!F:F,Dim_table!A:C,3,FALSE)</f>
        <v>HOU-002</v>
      </c>
      <c r="C295">
        <v>-900</v>
      </c>
    </row>
    <row r="296" spans="1:3" x14ac:dyDescent="0.25">
      <c r="A296" s="23">
        <v>44382</v>
      </c>
      <c r="B296" t="str">
        <f>VLOOKUP('Clean data'!F:F,Dim_table!A:C,3,FALSE)</f>
        <v>LOA-009</v>
      </c>
      <c r="C296">
        <v>-150</v>
      </c>
    </row>
    <row r="297" spans="1:3" x14ac:dyDescent="0.25">
      <c r="A297" s="23">
        <v>44382</v>
      </c>
      <c r="B297" t="str">
        <f>VLOOKUP('Clean data'!F:F,Dim_table!A:C,3,FALSE)</f>
        <v>FOO-003</v>
      </c>
      <c r="C297">
        <v>-15</v>
      </c>
    </row>
    <row r="298" spans="1:3" x14ac:dyDescent="0.25">
      <c r="A298" s="23">
        <v>44382</v>
      </c>
      <c r="B298" t="str">
        <f>VLOOKUP('Clean data'!F:F,Dim_table!A:C,3,FALSE)</f>
        <v>FOO-003</v>
      </c>
      <c r="C298">
        <v>-5</v>
      </c>
    </row>
    <row r="299" spans="1:3" x14ac:dyDescent="0.25">
      <c r="A299" s="23">
        <v>44383</v>
      </c>
      <c r="B299" t="str">
        <f>VLOOKUP('Clean data'!F:F,Dim_table!A:C,3,FALSE)</f>
        <v>FOO-003</v>
      </c>
      <c r="C299">
        <v>-5</v>
      </c>
    </row>
    <row r="300" spans="1:3" x14ac:dyDescent="0.25">
      <c r="A300" s="23">
        <v>44384</v>
      </c>
      <c r="B300" t="str">
        <f>VLOOKUP('Clean data'!F:F,Dim_table!A:C,3,FALSE)</f>
        <v>FOO-003</v>
      </c>
      <c r="C300">
        <v>-5</v>
      </c>
    </row>
    <row r="301" spans="1:3" x14ac:dyDescent="0.25">
      <c r="A301" s="23">
        <v>44384</v>
      </c>
      <c r="B301" t="str">
        <f>VLOOKUP('Clean data'!F:F,Dim_table!A:C,3,FALSE)</f>
        <v>FOO-003</v>
      </c>
      <c r="C301">
        <v>-180</v>
      </c>
    </row>
    <row r="302" spans="1:3" x14ac:dyDescent="0.25">
      <c r="A302" s="23">
        <v>44387</v>
      </c>
      <c r="B302" t="str">
        <f>VLOOKUP('Clean data'!F:F,Dim_table!A:C,3,FALSE)</f>
        <v>FOO-003</v>
      </c>
      <c r="C302">
        <v>-56.1</v>
      </c>
    </row>
    <row r="303" spans="1:3" x14ac:dyDescent="0.25">
      <c r="A303" s="23">
        <v>44387</v>
      </c>
      <c r="B303" t="str">
        <f>VLOOKUP('Clean data'!F:F,Dim_table!A:C,3,FALSE)</f>
        <v>FOO-003</v>
      </c>
      <c r="C303">
        <v>-5</v>
      </c>
    </row>
    <row r="304" spans="1:3" x14ac:dyDescent="0.25">
      <c r="A304" s="23">
        <v>44388</v>
      </c>
      <c r="B304" t="str">
        <f>VLOOKUP('Clean data'!F:F,Dim_table!A:C,3,FALSE)</f>
        <v>FOO-003</v>
      </c>
      <c r="C304">
        <v>-5</v>
      </c>
    </row>
    <row r="305" spans="1:3" x14ac:dyDescent="0.25">
      <c r="A305" s="23">
        <v>44389</v>
      </c>
      <c r="B305" t="str">
        <f>VLOOKUP('Clean data'!F:F,Dim_table!A:C,3,FALSE)</f>
        <v>TRA-004</v>
      </c>
      <c r="C305">
        <v>-83.1</v>
      </c>
    </row>
    <row r="306" spans="1:3" x14ac:dyDescent="0.25">
      <c r="A306" s="23">
        <v>44389</v>
      </c>
      <c r="B306" t="str">
        <f>VLOOKUP('Clean data'!F:F,Dim_table!A:C,3,FALSE)</f>
        <v>FOO-003</v>
      </c>
      <c r="C306">
        <v>-5</v>
      </c>
    </row>
    <row r="307" spans="1:3" x14ac:dyDescent="0.25">
      <c r="A307" s="23">
        <v>44390</v>
      </c>
      <c r="B307" t="str">
        <f>VLOOKUP('Clean data'!F:F,Dim_table!A:C,3,FALSE)</f>
        <v>FOO-003</v>
      </c>
      <c r="C307">
        <v>-5</v>
      </c>
    </row>
    <row r="308" spans="1:3" x14ac:dyDescent="0.25">
      <c r="A308" s="23">
        <v>44391</v>
      </c>
      <c r="B308" t="str">
        <f>VLOOKUP('Clean data'!F:F,Dim_table!A:C,3,FALSE)</f>
        <v>FOO-003</v>
      </c>
      <c r="C308">
        <v>-141.1</v>
      </c>
    </row>
    <row r="309" spans="1:3" x14ac:dyDescent="0.25">
      <c r="A309" s="23">
        <v>44391</v>
      </c>
      <c r="B309" t="str">
        <f>VLOOKUP('Clean data'!F:F,Dim_table!A:C,3,FALSE)</f>
        <v>FOO-003</v>
      </c>
      <c r="C309">
        <v>-5</v>
      </c>
    </row>
    <row r="310" spans="1:3" x14ac:dyDescent="0.25">
      <c r="A310" s="23">
        <v>44392</v>
      </c>
      <c r="B310" t="str">
        <f>VLOOKUP('Clean data'!F:F,Dim_table!A:C,3,FALSE)</f>
        <v>FOO-003</v>
      </c>
      <c r="C310">
        <v>-5</v>
      </c>
    </row>
    <row r="311" spans="1:3" x14ac:dyDescent="0.25">
      <c r="A311" s="23">
        <v>44392</v>
      </c>
      <c r="B311" t="str">
        <f>VLOOKUP('Clean data'!F:F,Dim_table!A:C,3,FALSE)</f>
        <v>ENT-006</v>
      </c>
      <c r="C311">
        <v>-45.8</v>
      </c>
    </row>
    <row r="312" spans="1:3" x14ac:dyDescent="0.25">
      <c r="A312" s="23">
        <v>44392</v>
      </c>
      <c r="B312" t="str">
        <f>VLOOKUP('Clean data'!F:F,Dim_table!A:C,3,FALSE)</f>
        <v>PER-008</v>
      </c>
      <c r="C312">
        <v>-103.80000000000001</v>
      </c>
    </row>
    <row r="313" spans="1:3" x14ac:dyDescent="0.25">
      <c r="A313" s="23">
        <v>44392</v>
      </c>
      <c r="B313" t="str">
        <f>VLOOKUP('Clean data'!F:F,Dim_table!A:C,3,FALSE)</f>
        <v>FOO-003</v>
      </c>
      <c r="C313">
        <v>-58</v>
      </c>
    </row>
    <row r="314" spans="1:3" x14ac:dyDescent="0.25">
      <c r="A314" s="23">
        <v>44393</v>
      </c>
      <c r="B314" t="str">
        <f>VLOOKUP('Clean data'!F:F,Dim_table!A:C,3,FALSE)</f>
        <v>TRA-004</v>
      </c>
      <c r="C314">
        <v>-34.200000000000003</v>
      </c>
    </row>
    <row r="315" spans="1:3" x14ac:dyDescent="0.25">
      <c r="A315" s="23">
        <v>44394</v>
      </c>
      <c r="B315" t="str">
        <f>VLOOKUP('Clean data'!F:F,Dim_table!A:C,3,FALSE)</f>
        <v>PVE-010</v>
      </c>
      <c r="C315">
        <v>200</v>
      </c>
    </row>
    <row r="316" spans="1:3" x14ac:dyDescent="0.25">
      <c r="A316" s="23">
        <v>44394</v>
      </c>
      <c r="B316" t="str">
        <f>VLOOKUP('Clean data'!F:F,Dim_table!A:C,3,FALSE)</f>
        <v>FOO-003</v>
      </c>
      <c r="C316">
        <v>-5</v>
      </c>
    </row>
    <row r="317" spans="1:3" x14ac:dyDescent="0.25">
      <c r="A317" s="23">
        <v>44395</v>
      </c>
      <c r="B317" t="str">
        <f>VLOOKUP('Clean data'!F:F,Dim_table!A:C,3,FALSE)</f>
        <v>FOO-003</v>
      </c>
      <c r="C317">
        <v>-5</v>
      </c>
    </row>
    <row r="318" spans="1:3" x14ac:dyDescent="0.25">
      <c r="A318" s="23">
        <v>44395</v>
      </c>
      <c r="B318" t="str">
        <f>VLOOKUP('Clean data'!F:F,Dim_table!A:C,3,FALSE)</f>
        <v>UTI-005</v>
      </c>
      <c r="C318">
        <v>-40</v>
      </c>
    </row>
    <row r="319" spans="1:3" x14ac:dyDescent="0.25">
      <c r="A319" s="23">
        <v>44396</v>
      </c>
      <c r="B319" t="str">
        <f>VLOOKUP('Clean data'!F:F,Dim_table!A:C,3,FALSE)</f>
        <v>PER-008</v>
      </c>
      <c r="C319">
        <v>-51.1</v>
      </c>
    </row>
    <row r="320" spans="1:3" x14ac:dyDescent="0.25">
      <c r="A320" s="23">
        <v>44396</v>
      </c>
      <c r="B320" t="str">
        <f>VLOOKUP('Clean data'!F:F,Dim_table!A:C,3,FALSE)</f>
        <v>ENT-006</v>
      </c>
      <c r="C320">
        <v>-35</v>
      </c>
    </row>
    <row r="321" spans="1:3" x14ac:dyDescent="0.25">
      <c r="A321" s="23">
        <v>44396</v>
      </c>
      <c r="B321" t="str">
        <f>VLOOKUP('Clean data'!F:F,Dim_table!A:C,3,FALSE)</f>
        <v>FOO-003</v>
      </c>
      <c r="C321">
        <v>-5</v>
      </c>
    </row>
    <row r="322" spans="1:3" x14ac:dyDescent="0.25">
      <c r="A322" s="23">
        <v>44397</v>
      </c>
      <c r="B322" t="str">
        <f>VLOOKUP('Clean data'!F:F,Dim_table!A:C,3,FALSE)</f>
        <v>FOO-003</v>
      </c>
      <c r="C322">
        <v>-5</v>
      </c>
    </row>
    <row r="323" spans="1:3" x14ac:dyDescent="0.25">
      <c r="A323" s="23">
        <v>44398</v>
      </c>
      <c r="B323" t="str">
        <f>VLOOKUP('Clean data'!F:F,Dim_table!A:C,3,FALSE)</f>
        <v>FOO-003</v>
      </c>
      <c r="C323">
        <v>-5</v>
      </c>
    </row>
    <row r="324" spans="1:3" x14ac:dyDescent="0.25">
      <c r="A324" s="23">
        <v>44398</v>
      </c>
      <c r="B324" t="str">
        <f>VLOOKUP('Clean data'!F:F,Dim_table!A:C,3,FALSE)</f>
        <v>FOO-003</v>
      </c>
      <c r="C324">
        <v>-176</v>
      </c>
    </row>
    <row r="325" spans="1:3" x14ac:dyDescent="0.25">
      <c r="A325" s="23">
        <v>44399</v>
      </c>
      <c r="B325" t="str">
        <f>VLOOKUP('Clean data'!F:F,Dim_table!A:C,3,FALSE)</f>
        <v>FOO-003</v>
      </c>
      <c r="C325">
        <v>-43.1</v>
      </c>
    </row>
    <row r="326" spans="1:3" x14ac:dyDescent="0.25">
      <c r="A326" s="23">
        <v>44400</v>
      </c>
      <c r="B326" t="str">
        <f>VLOOKUP('Clean data'!F:F,Dim_table!A:C,3,FALSE)</f>
        <v>FOO-003</v>
      </c>
      <c r="C326">
        <v>-18.2</v>
      </c>
    </row>
    <row r="327" spans="1:3" x14ac:dyDescent="0.25">
      <c r="A327" s="23">
        <v>44401</v>
      </c>
      <c r="B327" t="str">
        <f>VLOOKUP('Clean data'!F:F,Dim_table!A:C,3,FALSE)</f>
        <v>PER-008</v>
      </c>
      <c r="C327">
        <v>-55</v>
      </c>
    </row>
    <row r="328" spans="1:3" x14ac:dyDescent="0.25">
      <c r="A328" s="23">
        <v>44401</v>
      </c>
      <c r="B328" t="str">
        <f>VLOOKUP('Clean data'!F:F,Dim_table!A:C,3,FALSE)</f>
        <v>TRA-004</v>
      </c>
      <c r="C328">
        <v>-68.800000000000011</v>
      </c>
    </row>
    <row r="329" spans="1:3" x14ac:dyDescent="0.25">
      <c r="A329" s="23">
        <v>44401</v>
      </c>
      <c r="B329" t="str">
        <f>VLOOKUP('Clean data'!F:F,Dim_table!A:C,3,FALSE)</f>
        <v>FOO-003</v>
      </c>
      <c r="C329">
        <v>-5</v>
      </c>
    </row>
    <row r="330" spans="1:3" x14ac:dyDescent="0.25">
      <c r="A330" s="23">
        <v>44402</v>
      </c>
      <c r="B330" t="str">
        <f>VLOOKUP('Clean data'!F:F,Dim_table!A:C,3,FALSE)</f>
        <v>FOO-003</v>
      </c>
      <c r="C330">
        <v>-5</v>
      </c>
    </row>
    <row r="331" spans="1:3" x14ac:dyDescent="0.25">
      <c r="A331" s="23">
        <v>44403</v>
      </c>
      <c r="B331" t="str">
        <f>VLOOKUP('Clean data'!F:F,Dim_table!A:C,3,FALSE)</f>
        <v>FOO-003</v>
      </c>
      <c r="C331">
        <v>-5</v>
      </c>
    </row>
    <row r="332" spans="1:3" x14ac:dyDescent="0.25">
      <c r="A332" s="23">
        <v>44404</v>
      </c>
      <c r="B332" t="str">
        <f>VLOOKUP('Clean data'!F:F,Dim_table!A:C,3,FALSE)</f>
        <v>FOO-003</v>
      </c>
      <c r="C332">
        <v>-5</v>
      </c>
    </row>
    <row r="333" spans="1:3" x14ac:dyDescent="0.25">
      <c r="A333" s="23">
        <v>44405</v>
      </c>
      <c r="B333" t="str">
        <f>VLOOKUP('Clean data'!F:F,Dim_table!A:C,3,FALSE)</f>
        <v>FOO-003</v>
      </c>
      <c r="C333">
        <v>-5</v>
      </c>
    </row>
    <row r="334" spans="1:3" x14ac:dyDescent="0.25">
      <c r="A334" s="23">
        <v>44405</v>
      </c>
      <c r="B334" t="str">
        <f>VLOOKUP('Clean data'!F:F,Dim_table!A:C,3,FALSE)</f>
        <v>FOO-003</v>
      </c>
      <c r="C334">
        <v>-193</v>
      </c>
    </row>
    <row r="335" spans="1:3" x14ac:dyDescent="0.25">
      <c r="A335" s="23">
        <v>44406</v>
      </c>
      <c r="B335" t="str">
        <f>VLOOKUP('Clean data'!F:F,Dim_table!A:C,3,FALSE)</f>
        <v>PER-008</v>
      </c>
      <c r="C335">
        <v>-130.80000000000001</v>
      </c>
    </row>
    <row r="336" spans="1:3" x14ac:dyDescent="0.25">
      <c r="A336" s="23">
        <v>44406</v>
      </c>
      <c r="B336" t="str">
        <f>VLOOKUP('Clean data'!F:F,Dim_table!A:C,3,FALSE)</f>
        <v>HOU-002</v>
      </c>
      <c r="C336">
        <v>-181.39999999999998</v>
      </c>
    </row>
    <row r="337" spans="1:3" x14ac:dyDescent="0.25">
      <c r="A337" s="23">
        <v>44407</v>
      </c>
      <c r="B337" t="str">
        <f>VLOOKUP('Clean data'!F:F,Dim_table!A:C,3,FALSE)</f>
        <v>PER-008</v>
      </c>
      <c r="C337">
        <v>-151.19999999999999</v>
      </c>
    </row>
    <row r="338" spans="1:3" x14ac:dyDescent="0.25">
      <c r="A338" s="23">
        <v>44407</v>
      </c>
      <c r="B338" t="str">
        <f>VLOOKUP('Clean data'!F:F,Dim_table!A:C,3,FALSE)</f>
        <v>TRA-004</v>
      </c>
      <c r="C338">
        <v>-29.300000000000004</v>
      </c>
    </row>
    <row r="339" spans="1:3" x14ac:dyDescent="0.25">
      <c r="A339" s="23">
        <v>44407</v>
      </c>
      <c r="B339" t="str">
        <f>VLOOKUP('Clean data'!F:F,Dim_table!A:C,3,FALSE)</f>
        <v>FOO-003</v>
      </c>
      <c r="C339">
        <v>-15</v>
      </c>
    </row>
    <row r="340" spans="1:3" x14ac:dyDescent="0.25">
      <c r="A340" s="23">
        <v>44408</v>
      </c>
      <c r="B340" t="str">
        <f>VLOOKUP('Clean data'!F:F,Dim_table!A:C,3,FALSE)</f>
        <v>FOO-003</v>
      </c>
      <c r="C340">
        <v>-5</v>
      </c>
    </row>
    <row r="341" spans="1:3" x14ac:dyDescent="0.25">
      <c r="A341" s="23">
        <v>44410</v>
      </c>
      <c r="B341" t="str">
        <f>VLOOKUP('Clean data'!F:F,Dim_table!A:C,3,FALSE)</f>
        <v>FOO-003</v>
      </c>
      <c r="C341">
        <v>-5</v>
      </c>
    </row>
    <row r="342" spans="1:3" x14ac:dyDescent="0.25">
      <c r="A342" s="23">
        <v>44410</v>
      </c>
      <c r="B342" t="str">
        <f>VLOOKUP('Clean data'!F:F,Dim_table!A:C,3,FALSE)</f>
        <v>SAL-001</v>
      </c>
      <c r="C342">
        <v>5000</v>
      </c>
    </row>
    <row r="343" spans="1:3" x14ac:dyDescent="0.25">
      <c r="A343" s="23">
        <v>44411</v>
      </c>
      <c r="B343" t="str">
        <f>VLOOKUP('Clean data'!F:F,Dim_table!A:C,3,FALSE)</f>
        <v>FOO-003</v>
      </c>
      <c r="C343">
        <v>-5</v>
      </c>
    </row>
    <row r="344" spans="1:3" x14ac:dyDescent="0.25">
      <c r="A344" s="23">
        <v>44413</v>
      </c>
      <c r="B344" t="str">
        <f>VLOOKUP('Clean data'!F:F,Dim_table!A:C,3,FALSE)</f>
        <v>HOU-002</v>
      </c>
      <c r="C344">
        <v>-900</v>
      </c>
    </row>
    <row r="345" spans="1:3" x14ac:dyDescent="0.25">
      <c r="A345" s="23">
        <v>44413</v>
      </c>
      <c r="B345" t="str">
        <f>VLOOKUP('Clean data'!F:F,Dim_table!A:C,3,FALSE)</f>
        <v>LOA-009</v>
      </c>
      <c r="C345">
        <v>-150</v>
      </c>
    </row>
    <row r="346" spans="1:3" x14ac:dyDescent="0.25">
      <c r="A346" s="23">
        <v>44413</v>
      </c>
      <c r="B346" t="str">
        <f>VLOOKUP('Clean data'!F:F,Dim_table!A:C,3,FALSE)</f>
        <v>FOO-003</v>
      </c>
      <c r="C346">
        <v>-5</v>
      </c>
    </row>
    <row r="347" spans="1:3" x14ac:dyDescent="0.25">
      <c r="A347" s="23">
        <v>44413</v>
      </c>
      <c r="B347" t="str">
        <f>VLOOKUP('Clean data'!F:F,Dim_table!A:C,3,FALSE)</f>
        <v>FOO-003</v>
      </c>
      <c r="C347">
        <v>-5</v>
      </c>
    </row>
    <row r="348" spans="1:3" x14ac:dyDescent="0.25">
      <c r="A348" s="23">
        <v>44414</v>
      </c>
      <c r="B348" t="str">
        <f>VLOOKUP('Clean data'!F:F,Dim_table!A:C,3,FALSE)</f>
        <v>FOO-003</v>
      </c>
      <c r="C348">
        <v>-5</v>
      </c>
    </row>
    <row r="349" spans="1:3" x14ac:dyDescent="0.25">
      <c r="A349" s="23">
        <v>44415</v>
      </c>
      <c r="B349" t="str">
        <f>VLOOKUP('Clean data'!F:F,Dim_table!A:C,3,FALSE)</f>
        <v>FOO-003</v>
      </c>
      <c r="C349">
        <v>-5</v>
      </c>
    </row>
    <row r="350" spans="1:3" x14ac:dyDescent="0.25">
      <c r="A350" s="23">
        <v>44415</v>
      </c>
      <c r="B350" t="str">
        <f>VLOOKUP('Clean data'!F:F,Dim_table!A:C,3,FALSE)</f>
        <v>FOO-003</v>
      </c>
      <c r="C350">
        <v>-137</v>
      </c>
    </row>
    <row r="351" spans="1:3" x14ac:dyDescent="0.25">
      <c r="A351" s="23">
        <v>44418</v>
      </c>
      <c r="B351" t="str">
        <f>VLOOKUP('Clean data'!F:F,Dim_table!A:C,3,FALSE)</f>
        <v>FOO-003</v>
      </c>
      <c r="C351">
        <v>-57</v>
      </c>
    </row>
    <row r="352" spans="1:3" x14ac:dyDescent="0.25">
      <c r="A352" s="23">
        <v>44418</v>
      </c>
      <c r="B352" t="str">
        <f>VLOOKUP('Clean data'!F:F,Dim_table!A:C,3,FALSE)</f>
        <v>FOO-003</v>
      </c>
      <c r="C352">
        <v>-5</v>
      </c>
    </row>
    <row r="353" spans="1:3" x14ac:dyDescent="0.25">
      <c r="A353" s="23">
        <v>44419</v>
      </c>
      <c r="B353" t="str">
        <f>VLOOKUP('Clean data'!F:F,Dim_table!A:C,3,FALSE)</f>
        <v>FOO-003</v>
      </c>
      <c r="C353">
        <v>-5</v>
      </c>
    </row>
    <row r="354" spans="1:3" x14ac:dyDescent="0.25">
      <c r="A354" s="23">
        <v>44420</v>
      </c>
      <c r="B354" t="str">
        <f>VLOOKUP('Clean data'!F:F,Dim_table!A:C,3,FALSE)</f>
        <v>TRA-004</v>
      </c>
      <c r="C354">
        <v>-84.199999999999989</v>
      </c>
    </row>
    <row r="355" spans="1:3" x14ac:dyDescent="0.25">
      <c r="A355" s="23">
        <v>44420</v>
      </c>
      <c r="B355" t="str">
        <f>VLOOKUP('Clean data'!F:F,Dim_table!A:C,3,FALSE)</f>
        <v>FOO-003</v>
      </c>
      <c r="C355">
        <v>-5</v>
      </c>
    </row>
    <row r="356" spans="1:3" x14ac:dyDescent="0.25">
      <c r="A356" s="23">
        <v>44421</v>
      </c>
      <c r="B356" t="str">
        <f>VLOOKUP('Clean data'!F:F,Dim_table!A:C,3,FALSE)</f>
        <v>FOO-003</v>
      </c>
      <c r="C356">
        <v>-5</v>
      </c>
    </row>
    <row r="357" spans="1:3" x14ac:dyDescent="0.25">
      <c r="A357" s="23">
        <v>44422</v>
      </c>
      <c r="B357" t="str">
        <f>VLOOKUP('Clean data'!F:F,Dim_table!A:C,3,FALSE)</f>
        <v>FOO-003</v>
      </c>
      <c r="C357">
        <v>-142.1</v>
      </c>
    </row>
    <row r="358" spans="1:3" x14ac:dyDescent="0.25">
      <c r="A358" s="23">
        <v>44422</v>
      </c>
      <c r="B358" t="str">
        <f>VLOOKUP('Clean data'!F:F,Dim_table!A:C,3,FALSE)</f>
        <v>FOO-003</v>
      </c>
      <c r="C358">
        <v>-5</v>
      </c>
    </row>
    <row r="359" spans="1:3" x14ac:dyDescent="0.25">
      <c r="A359" s="23">
        <v>44423</v>
      </c>
      <c r="B359" t="str">
        <f>VLOOKUP('Clean data'!F:F,Dim_table!A:C,3,FALSE)</f>
        <v>FOO-003</v>
      </c>
      <c r="C359">
        <v>-5</v>
      </c>
    </row>
    <row r="360" spans="1:3" x14ac:dyDescent="0.25">
      <c r="A360" s="23">
        <v>44423</v>
      </c>
      <c r="B360" t="str">
        <f>VLOOKUP('Clean data'!F:F,Dim_table!A:C,3,FALSE)</f>
        <v>ENT-006</v>
      </c>
      <c r="C360">
        <v>-46.8</v>
      </c>
    </row>
    <row r="361" spans="1:3" x14ac:dyDescent="0.25">
      <c r="A361" s="23">
        <v>44423</v>
      </c>
      <c r="B361" t="str">
        <f>VLOOKUP('Clean data'!F:F,Dim_table!A:C,3,FALSE)</f>
        <v>PER-008</v>
      </c>
      <c r="C361">
        <v>-104.70000000000002</v>
      </c>
    </row>
    <row r="362" spans="1:3" x14ac:dyDescent="0.25">
      <c r="A362" s="23">
        <v>44423</v>
      </c>
      <c r="B362" t="str">
        <f>VLOOKUP('Clean data'!F:F,Dim_table!A:C,3,FALSE)</f>
        <v>FOO-003</v>
      </c>
      <c r="C362">
        <v>-59.1</v>
      </c>
    </row>
    <row r="363" spans="1:3" x14ac:dyDescent="0.25">
      <c r="A363" s="23">
        <v>44424</v>
      </c>
      <c r="B363" t="str">
        <f>VLOOKUP('Clean data'!F:F,Dim_table!A:C,3,FALSE)</f>
        <v>TRA-004</v>
      </c>
      <c r="C363">
        <v>-35.1</v>
      </c>
    </row>
    <row r="364" spans="1:3" x14ac:dyDescent="0.25">
      <c r="A364" s="23">
        <v>44425</v>
      </c>
      <c r="B364" t="str">
        <f>VLOOKUP('Clean data'!F:F,Dim_table!A:C,3,FALSE)</f>
        <v>PVE-010</v>
      </c>
      <c r="C364">
        <v>800</v>
      </c>
    </row>
    <row r="365" spans="1:3" x14ac:dyDescent="0.25">
      <c r="A365" s="23">
        <v>44425</v>
      </c>
      <c r="B365" t="str">
        <f>VLOOKUP('Clean data'!F:F,Dim_table!A:C,3,FALSE)</f>
        <v>FOO-003</v>
      </c>
      <c r="C365">
        <v>-5</v>
      </c>
    </row>
    <row r="366" spans="1:3" x14ac:dyDescent="0.25">
      <c r="A366" s="23">
        <v>44426</v>
      </c>
      <c r="B366" t="str">
        <f>VLOOKUP('Clean data'!F:F,Dim_table!A:C,3,FALSE)</f>
        <v>FOO-003</v>
      </c>
      <c r="C366">
        <v>-5</v>
      </c>
    </row>
    <row r="367" spans="1:3" x14ac:dyDescent="0.25">
      <c r="A367" s="23">
        <v>44426</v>
      </c>
      <c r="B367" t="str">
        <f>VLOOKUP('Clean data'!F:F,Dim_table!A:C,3,FALSE)</f>
        <v>UTI-005</v>
      </c>
      <c r="C367">
        <v>-40</v>
      </c>
    </row>
    <row r="368" spans="1:3" x14ac:dyDescent="0.25">
      <c r="A368" s="23">
        <v>44427</v>
      </c>
      <c r="B368" t="str">
        <f>VLOOKUP('Clean data'!F:F,Dim_table!A:C,3,FALSE)</f>
        <v>PER-008</v>
      </c>
      <c r="C368">
        <v>-52.1</v>
      </c>
    </row>
    <row r="369" spans="1:3" x14ac:dyDescent="0.25">
      <c r="A369" s="23">
        <v>44427</v>
      </c>
      <c r="B369" t="str">
        <f>VLOOKUP('Clean data'!F:F,Dim_table!A:C,3,FALSE)</f>
        <v>ENT-006</v>
      </c>
      <c r="C369">
        <v>-35</v>
      </c>
    </row>
    <row r="370" spans="1:3" x14ac:dyDescent="0.25">
      <c r="A370" s="23">
        <v>44427</v>
      </c>
      <c r="B370" t="str">
        <f>VLOOKUP('Clean data'!F:F,Dim_table!A:C,3,FALSE)</f>
        <v>FOO-003</v>
      </c>
      <c r="C370">
        <v>-5</v>
      </c>
    </row>
    <row r="371" spans="1:3" x14ac:dyDescent="0.25">
      <c r="A371" s="23">
        <v>44428</v>
      </c>
      <c r="B371" t="str">
        <f>VLOOKUP('Clean data'!F:F,Dim_table!A:C,3,FALSE)</f>
        <v>FOO-003</v>
      </c>
      <c r="C371">
        <v>-5</v>
      </c>
    </row>
    <row r="372" spans="1:3" x14ac:dyDescent="0.25">
      <c r="A372" s="23">
        <v>44429</v>
      </c>
      <c r="B372" t="str">
        <f>VLOOKUP('Clean data'!F:F,Dim_table!A:C,3,FALSE)</f>
        <v>FOO-003</v>
      </c>
      <c r="C372">
        <v>-5</v>
      </c>
    </row>
    <row r="373" spans="1:3" x14ac:dyDescent="0.25">
      <c r="A373" s="23">
        <v>44429</v>
      </c>
      <c r="B373" t="str">
        <f>VLOOKUP('Clean data'!F:F,Dim_table!A:C,3,FALSE)</f>
        <v>FOO-003</v>
      </c>
      <c r="C373">
        <v>-177</v>
      </c>
    </row>
    <row r="374" spans="1:3" x14ac:dyDescent="0.25">
      <c r="A374" s="23">
        <v>44430</v>
      </c>
      <c r="B374" t="str">
        <f>VLOOKUP('Clean data'!F:F,Dim_table!A:C,3,FALSE)</f>
        <v>FOO-003</v>
      </c>
      <c r="C374">
        <v>-44.2</v>
      </c>
    </row>
    <row r="375" spans="1:3" x14ac:dyDescent="0.25">
      <c r="A375" s="23">
        <v>44431</v>
      </c>
      <c r="B375" t="str">
        <f>VLOOKUP('Clean data'!F:F,Dim_table!A:C,3,FALSE)</f>
        <v>FOO-003</v>
      </c>
      <c r="C375">
        <v>-19.2</v>
      </c>
    </row>
    <row r="376" spans="1:3" x14ac:dyDescent="0.25">
      <c r="A376" s="23">
        <v>44432</v>
      </c>
      <c r="B376" t="str">
        <f>VLOOKUP('Clean data'!F:F,Dim_table!A:C,3,FALSE)</f>
        <v>PER-008</v>
      </c>
      <c r="C376">
        <v>-55</v>
      </c>
    </row>
    <row r="377" spans="1:3" x14ac:dyDescent="0.25">
      <c r="A377" s="23">
        <v>44432</v>
      </c>
      <c r="B377" t="str">
        <f>VLOOKUP('Clean data'!F:F,Dim_table!A:C,3,FALSE)</f>
        <v>TRA-004</v>
      </c>
      <c r="C377">
        <v>-69.700000000000017</v>
      </c>
    </row>
    <row r="378" spans="1:3" x14ac:dyDescent="0.25">
      <c r="A378" s="23">
        <v>44432</v>
      </c>
      <c r="B378" t="str">
        <f>VLOOKUP('Clean data'!F:F,Dim_table!A:C,3,FALSE)</f>
        <v>FOO-003</v>
      </c>
      <c r="C378">
        <v>-5</v>
      </c>
    </row>
    <row r="379" spans="1:3" x14ac:dyDescent="0.25">
      <c r="A379" s="23">
        <v>44433</v>
      </c>
      <c r="B379" t="str">
        <f>VLOOKUP('Clean data'!F:F,Dim_table!A:C,3,FALSE)</f>
        <v>FOO-003</v>
      </c>
      <c r="C379">
        <v>-5</v>
      </c>
    </row>
    <row r="380" spans="1:3" x14ac:dyDescent="0.25">
      <c r="A380" s="23">
        <v>44434</v>
      </c>
      <c r="B380" t="str">
        <f>VLOOKUP('Clean data'!F:F,Dim_table!A:C,3,FALSE)</f>
        <v>FOO-003</v>
      </c>
      <c r="C380">
        <v>-5</v>
      </c>
    </row>
    <row r="381" spans="1:3" x14ac:dyDescent="0.25">
      <c r="A381" s="23">
        <v>44435</v>
      </c>
      <c r="B381" t="str">
        <f>VLOOKUP('Clean data'!F:F,Dim_table!A:C,3,FALSE)</f>
        <v>FOO-003</v>
      </c>
      <c r="C381">
        <v>-5</v>
      </c>
    </row>
    <row r="382" spans="1:3" x14ac:dyDescent="0.25">
      <c r="A382" s="23">
        <v>44436</v>
      </c>
      <c r="B382" t="str">
        <f>VLOOKUP('Clean data'!F:F,Dim_table!A:C,3,FALSE)</f>
        <v>FOO-003</v>
      </c>
      <c r="C382">
        <v>-5</v>
      </c>
    </row>
    <row r="383" spans="1:3" x14ac:dyDescent="0.25">
      <c r="A383" s="23">
        <v>44436</v>
      </c>
      <c r="B383" t="str">
        <f>VLOOKUP('Clean data'!F:F,Dim_table!A:C,3,FALSE)</f>
        <v>FOO-003</v>
      </c>
      <c r="C383">
        <v>-117</v>
      </c>
    </row>
    <row r="384" spans="1:3" x14ac:dyDescent="0.25">
      <c r="A384" s="23">
        <v>44437</v>
      </c>
      <c r="B384" t="str">
        <f>VLOOKUP('Clean data'!F:F,Dim_table!A:C,3,FALSE)</f>
        <v>PER-008</v>
      </c>
      <c r="C384">
        <v>-131.9</v>
      </c>
    </row>
    <row r="385" spans="1:3" x14ac:dyDescent="0.25">
      <c r="A385" s="23">
        <v>44437</v>
      </c>
      <c r="B385" t="str">
        <f>VLOOKUP('Clean data'!F:F,Dim_table!A:C,3,FALSE)</f>
        <v>ENT-006</v>
      </c>
      <c r="C385">
        <v>-182.39999999999998</v>
      </c>
    </row>
    <row r="386" spans="1:3" x14ac:dyDescent="0.25">
      <c r="A386" s="23">
        <v>44438</v>
      </c>
      <c r="B386" t="str">
        <f>VLOOKUP('Clean data'!F:F,Dim_table!A:C,3,FALSE)</f>
        <v>PER-008</v>
      </c>
      <c r="C386">
        <v>-152.29999999999998</v>
      </c>
    </row>
    <row r="387" spans="1:3" x14ac:dyDescent="0.25">
      <c r="A387" s="23">
        <v>44438</v>
      </c>
      <c r="B387" t="str">
        <f>VLOOKUP('Clean data'!F:F,Dim_table!A:C,3,FALSE)</f>
        <v>TRA-004</v>
      </c>
      <c r="C387">
        <v>-30.300000000000004</v>
      </c>
    </row>
    <row r="388" spans="1:3" x14ac:dyDescent="0.25">
      <c r="A388" s="23">
        <v>44438</v>
      </c>
      <c r="B388" t="str">
        <f>VLOOKUP('Clean data'!F:F,Dim_table!A:C,3,FALSE)</f>
        <v>FOO-003</v>
      </c>
      <c r="C388">
        <v>-15</v>
      </c>
    </row>
    <row r="389" spans="1:3" x14ac:dyDescent="0.25">
      <c r="A389" s="23">
        <v>44439</v>
      </c>
      <c r="B389" t="str">
        <f>VLOOKUP('Clean data'!F:F,Dim_table!A:C,3,FALSE)</f>
        <v>FOO-003</v>
      </c>
      <c r="C389">
        <v>-5</v>
      </c>
    </row>
    <row r="390" spans="1:3" x14ac:dyDescent="0.25">
      <c r="A390" s="23">
        <v>44441</v>
      </c>
      <c r="B390" t="str">
        <f>VLOOKUP('Clean data'!F:F,Dim_table!A:C,3,FALSE)</f>
        <v>FOO-003</v>
      </c>
      <c r="C390">
        <v>-5</v>
      </c>
    </row>
    <row r="391" spans="1:3" x14ac:dyDescent="0.25">
      <c r="A391" s="23">
        <v>44441</v>
      </c>
      <c r="B391" t="str">
        <f>VLOOKUP('Clean data'!F:F,Dim_table!A:C,3,FALSE)</f>
        <v>SAL-001</v>
      </c>
      <c r="C391">
        <v>5000</v>
      </c>
    </row>
    <row r="392" spans="1:3" x14ac:dyDescent="0.25">
      <c r="A392" s="23">
        <v>44442</v>
      </c>
      <c r="B392" t="str">
        <f>VLOOKUP('Clean data'!F:F,Dim_table!A:C,3,FALSE)</f>
        <v>FOO-003</v>
      </c>
      <c r="C392">
        <v>-5</v>
      </c>
    </row>
    <row r="393" spans="1:3" x14ac:dyDescent="0.25">
      <c r="A393" s="23">
        <v>44444</v>
      </c>
      <c r="B393" t="str">
        <f>VLOOKUP('Clean data'!F:F,Dim_table!A:C,3,FALSE)</f>
        <v>HOU-002</v>
      </c>
      <c r="C393">
        <v>-900</v>
      </c>
    </row>
    <row r="394" spans="1:3" x14ac:dyDescent="0.25">
      <c r="A394" s="23">
        <v>44444</v>
      </c>
      <c r="B394" t="str">
        <f>VLOOKUP('Clean data'!F:F,Dim_table!A:C,3,FALSE)</f>
        <v>LOA-009</v>
      </c>
      <c r="C394">
        <v>-150</v>
      </c>
    </row>
    <row r="395" spans="1:3" x14ac:dyDescent="0.25">
      <c r="A395" s="23">
        <v>44444</v>
      </c>
      <c r="B395" t="str">
        <f>VLOOKUP('Clean data'!F:F,Dim_table!A:C,3,FALSE)</f>
        <v>FOO-003</v>
      </c>
      <c r="C395">
        <v>-5</v>
      </c>
    </row>
    <row r="396" spans="1:3" x14ac:dyDescent="0.25">
      <c r="A396" s="23">
        <v>44444</v>
      </c>
      <c r="B396" t="str">
        <f>VLOOKUP('Clean data'!F:F,Dim_table!A:C,3,FALSE)</f>
        <v>FOO-003</v>
      </c>
      <c r="C396">
        <v>-5</v>
      </c>
    </row>
    <row r="397" spans="1:3" x14ac:dyDescent="0.25">
      <c r="A397" s="23">
        <v>44445</v>
      </c>
      <c r="B397" t="str">
        <f>VLOOKUP('Clean data'!F:F,Dim_table!A:C,3,FALSE)</f>
        <v>FOO-003</v>
      </c>
      <c r="C397">
        <v>-5</v>
      </c>
    </row>
    <row r="398" spans="1:3" x14ac:dyDescent="0.25">
      <c r="A398" s="23">
        <v>44446</v>
      </c>
      <c r="B398" t="str">
        <f>VLOOKUP('Clean data'!F:F,Dim_table!A:C,3,FALSE)</f>
        <v>FOO-003</v>
      </c>
      <c r="C398">
        <v>-5</v>
      </c>
    </row>
    <row r="399" spans="1:3" x14ac:dyDescent="0.25">
      <c r="A399" s="23">
        <v>44446</v>
      </c>
      <c r="B399" t="str">
        <f>VLOOKUP('Clean data'!F:F,Dim_table!A:C,3,FALSE)</f>
        <v>FOO-003</v>
      </c>
      <c r="C399">
        <v>-163.39999999999998</v>
      </c>
    </row>
    <row r="400" spans="1:3" x14ac:dyDescent="0.25">
      <c r="A400" s="23">
        <v>44449</v>
      </c>
      <c r="B400" t="str">
        <f>VLOOKUP('Clean data'!F:F,Dim_table!A:C,3,FALSE)</f>
        <v>FOO-003</v>
      </c>
      <c r="C400">
        <v>-58.1</v>
      </c>
    </row>
    <row r="401" spans="1:3" x14ac:dyDescent="0.25">
      <c r="A401" s="23">
        <v>44449</v>
      </c>
      <c r="B401" t="str">
        <f>VLOOKUP('Clean data'!F:F,Dim_table!A:C,3,FALSE)</f>
        <v>FOO-003</v>
      </c>
      <c r="C401">
        <v>-5</v>
      </c>
    </row>
    <row r="402" spans="1:3" x14ac:dyDescent="0.25">
      <c r="A402" s="23">
        <v>44450</v>
      </c>
      <c r="B402" t="str">
        <f>VLOOKUP('Clean data'!F:F,Dim_table!A:C,3,FALSE)</f>
        <v>FOO-003</v>
      </c>
      <c r="C402">
        <v>-5</v>
      </c>
    </row>
    <row r="403" spans="1:3" x14ac:dyDescent="0.25">
      <c r="A403" s="23">
        <v>44451</v>
      </c>
      <c r="B403" t="str">
        <f>VLOOKUP('Clean data'!F:F,Dim_table!A:C,3,FALSE)</f>
        <v>TRA-004</v>
      </c>
      <c r="C403">
        <v>-85.299999999999983</v>
      </c>
    </row>
    <row r="404" spans="1:3" x14ac:dyDescent="0.25">
      <c r="A404" s="23">
        <v>44451</v>
      </c>
      <c r="B404" t="str">
        <f>VLOOKUP('Clean data'!F:F,Dim_table!A:C,3,FALSE)</f>
        <v>FOO-003</v>
      </c>
      <c r="C404">
        <v>-5</v>
      </c>
    </row>
    <row r="405" spans="1:3" x14ac:dyDescent="0.25">
      <c r="A405" s="23">
        <v>44452</v>
      </c>
      <c r="B405" t="str">
        <f>VLOOKUP('Clean data'!F:F,Dim_table!A:C,3,FALSE)</f>
        <v>FOO-003</v>
      </c>
      <c r="C405">
        <v>-5</v>
      </c>
    </row>
    <row r="406" spans="1:3" x14ac:dyDescent="0.25">
      <c r="A406" s="23">
        <v>44453</v>
      </c>
      <c r="B406" t="str">
        <f>VLOOKUP('Clean data'!F:F,Dim_table!A:C,3,FALSE)</f>
        <v>FOO-003</v>
      </c>
      <c r="C406">
        <v>-143</v>
      </c>
    </row>
    <row r="407" spans="1:3" x14ac:dyDescent="0.25">
      <c r="A407" s="23">
        <v>44453</v>
      </c>
      <c r="B407" t="str">
        <f>VLOOKUP('Clean data'!F:F,Dim_table!A:C,3,FALSE)</f>
        <v>FOO-003</v>
      </c>
      <c r="C407">
        <v>-5</v>
      </c>
    </row>
    <row r="408" spans="1:3" x14ac:dyDescent="0.25">
      <c r="A408" s="23">
        <v>44454</v>
      </c>
      <c r="B408" t="str">
        <f>VLOOKUP('Clean data'!F:F,Dim_table!A:C,3,FALSE)</f>
        <v>FOO-003</v>
      </c>
      <c r="C408">
        <v>-5</v>
      </c>
    </row>
    <row r="409" spans="1:3" x14ac:dyDescent="0.25">
      <c r="A409" s="23">
        <v>44454</v>
      </c>
      <c r="B409" t="str">
        <f>VLOOKUP('Clean data'!F:F,Dim_table!A:C,3,FALSE)</f>
        <v>ENT-006</v>
      </c>
      <c r="C409">
        <v>-47.8</v>
      </c>
    </row>
    <row r="410" spans="1:3" x14ac:dyDescent="0.25">
      <c r="A410" s="23">
        <v>44454</v>
      </c>
      <c r="B410" t="str">
        <f>VLOOKUP('Clean data'!F:F,Dim_table!A:C,3,FALSE)</f>
        <v>PER-008</v>
      </c>
      <c r="C410">
        <v>-105.80000000000001</v>
      </c>
    </row>
    <row r="411" spans="1:3" x14ac:dyDescent="0.25">
      <c r="A411" s="23">
        <v>44454</v>
      </c>
      <c r="B411" t="str">
        <f>VLOOKUP('Clean data'!F:F,Dim_table!A:C,3,FALSE)</f>
        <v>FOO-003</v>
      </c>
      <c r="C411">
        <v>-60.1</v>
      </c>
    </row>
    <row r="412" spans="1:3" x14ac:dyDescent="0.25">
      <c r="A412" s="23">
        <v>44455</v>
      </c>
      <c r="B412" t="str">
        <f>VLOOKUP('Clean data'!F:F,Dim_table!A:C,3,FALSE)</f>
        <v>TRA-004</v>
      </c>
      <c r="C412">
        <v>-36.200000000000003</v>
      </c>
    </row>
    <row r="413" spans="1:3" x14ac:dyDescent="0.25">
      <c r="A413" s="23">
        <v>44456</v>
      </c>
      <c r="B413" t="str">
        <f>VLOOKUP('Clean data'!F:F,Dim_table!A:C,3,FALSE)</f>
        <v>PVE-010</v>
      </c>
      <c r="C413">
        <v>100</v>
      </c>
    </row>
    <row r="414" spans="1:3" x14ac:dyDescent="0.25">
      <c r="A414" s="23">
        <v>44456</v>
      </c>
      <c r="B414" t="str">
        <f>VLOOKUP('Clean data'!F:F,Dim_table!A:C,3,FALSE)</f>
        <v>FOO-003</v>
      </c>
      <c r="C414">
        <v>-5</v>
      </c>
    </row>
    <row r="415" spans="1:3" x14ac:dyDescent="0.25">
      <c r="A415" s="23">
        <v>44457</v>
      </c>
      <c r="B415" t="str">
        <f>VLOOKUP('Clean data'!F:F,Dim_table!A:C,3,FALSE)</f>
        <v>FOO-003</v>
      </c>
      <c r="C415">
        <v>-5</v>
      </c>
    </row>
    <row r="416" spans="1:3" x14ac:dyDescent="0.25">
      <c r="A416" s="23">
        <v>44457</v>
      </c>
      <c r="B416" t="str">
        <f>VLOOKUP('Clean data'!F:F,Dim_table!A:C,3,FALSE)</f>
        <v>UTI-005</v>
      </c>
      <c r="C416">
        <v>-40</v>
      </c>
    </row>
    <row r="417" spans="1:3" x14ac:dyDescent="0.25">
      <c r="A417" s="23">
        <v>44458</v>
      </c>
      <c r="B417" t="str">
        <f>VLOOKUP('Clean data'!F:F,Dim_table!A:C,3,FALSE)</f>
        <v>PER-008</v>
      </c>
      <c r="C417">
        <v>-53</v>
      </c>
    </row>
    <row r="418" spans="1:3" x14ac:dyDescent="0.25">
      <c r="A418" s="23">
        <v>44458</v>
      </c>
      <c r="B418" t="str">
        <f>VLOOKUP('Clean data'!F:F,Dim_table!A:C,3,FALSE)</f>
        <v>ENT-006</v>
      </c>
      <c r="C418">
        <v>-35</v>
      </c>
    </row>
    <row r="419" spans="1:3" x14ac:dyDescent="0.25">
      <c r="A419" s="23">
        <v>44458</v>
      </c>
      <c r="B419" t="str">
        <f>VLOOKUP('Clean data'!F:F,Dim_table!A:C,3,FALSE)</f>
        <v>FOO-003</v>
      </c>
      <c r="C419">
        <v>-5</v>
      </c>
    </row>
    <row r="420" spans="1:3" x14ac:dyDescent="0.25">
      <c r="A420" s="23">
        <v>44459</v>
      </c>
      <c r="B420" t="str">
        <f>VLOOKUP('Clean data'!F:F,Dim_table!A:C,3,FALSE)</f>
        <v>FOO-003</v>
      </c>
      <c r="C420">
        <v>-5</v>
      </c>
    </row>
    <row r="421" spans="1:3" x14ac:dyDescent="0.25">
      <c r="A421" s="23">
        <v>44460</v>
      </c>
      <c r="B421" t="str">
        <f>VLOOKUP('Clean data'!F:F,Dim_table!A:C,3,FALSE)</f>
        <v>FOO-003</v>
      </c>
      <c r="C421">
        <v>-5</v>
      </c>
    </row>
    <row r="422" spans="1:3" x14ac:dyDescent="0.25">
      <c r="A422" s="23">
        <v>44460</v>
      </c>
      <c r="B422" t="str">
        <f>VLOOKUP('Clean data'!F:F,Dim_table!A:C,3,FALSE)</f>
        <v>FOO-003</v>
      </c>
      <c r="C422">
        <v>-177.9</v>
      </c>
    </row>
    <row r="423" spans="1:3" x14ac:dyDescent="0.25">
      <c r="A423" s="23">
        <v>44461</v>
      </c>
      <c r="B423" t="str">
        <f>VLOOKUP('Clean data'!F:F,Dim_table!A:C,3,FALSE)</f>
        <v>FOO-003</v>
      </c>
      <c r="C423">
        <v>-45.300000000000004</v>
      </c>
    </row>
    <row r="424" spans="1:3" x14ac:dyDescent="0.25">
      <c r="A424" s="23">
        <v>44462</v>
      </c>
      <c r="B424" t="str">
        <f>VLOOKUP('Clean data'!F:F,Dim_table!A:C,3,FALSE)</f>
        <v>FOO-003</v>
      </c>
      <c r="C424">
        <v>-20.099999999999998</v>
      </c>
    </row>
    <row r="425" spans="1:3" x14ac:dyDescent="0.25">
      <c r="A425" s="23">
        <v>44463</v>
      </c>
      <c r="B425" t="str">
        <f>VLOOKUP('Clean data'!F:F,Dim_table!A:C,3,FALSE)</f>
        <v>PER-008</v>
      </c>
      <c r="C425">
        <v>-55</v>
      </c>
    </row>
    <row r="426" spans="1:3" x14ac:dyDescent="0.25">
      <c r="A426" s="23">
        <v>44463</v>
      </c>
      <c r="B426" t="str">
        <f>VLOOKUP('Clean data'!F:F,Dim_table!A:C,3,FALSE)</f>
        <v>TRA-004</v>
      </c>
      <c r="C426">
        <v>-70.600000000000023</v>
      </c>
    </row>
    <row r="427" spans="1:3" x14ac:dyDescent="0.25">
      <c r="A427" s="23">
        <v>44463</v>
      </c>
      <c r="B427" t="str">
        <f>VLOOKUP('Clean data'!F:F,Dim_table!A:C,3,FALSE)</f>
        <v>FOO-003</v>
      </c>
      <c r="C427">
        <v>-5</v>
      </c>
    </row>
    <row r="428" spans="1:3" x14ac:dyDescent="0.25">
      <c r="A428" s="23">
        <v>44464</v>
      </c>
      <c r="B428" t="str">
        <f>VLOOKUP('Clean data'!F:F,Dim_table!A:C,3,FALSE)</f>
        <v>FOO-003</v>
      </c>
      <c r="C428">
        <v>-5</v>
      </c>
    </row>
    <row r="429" spans="1:3" x14ac:dyDescent="0.25">
      <c r="A429" s="23">
        <v>44465</v>
      </c>
      <c r="B429" t="str">
        <f>VLOOKUP('Clean data'!F:F,Dim_table!A:C,3,FALSE)</f>
        <v>FOO-003</v>
      </c>
      <c r="C429">
        <v>-5</v>
      </c>
    </row>
    <row r="430" spans="1:3" x14ac:dyDescent="0.25">
      <c r="A430" s="23">
        <v>44466</v>
      </c>
      <c r="B430" t="str">
        <f>VLOOKUP('Clean data'!F:F,Dim_table!A:C,3,FALSE)</f>
        <v>FOO-003</v>
      </c>
      <c r="C430">
        <v>-5</v>
      </c>
    </row>
    <row r="431" spans="1:3" x14ac:dyDescent="0.25">
      <c r="A431" s="23">
        <v>44467</v>
      </c>
      <c r="B431" t="str">
        <f>VLOOKUP('Clean data'!F:F,Dim_table!A:C,3,FALSE)</f>
        <v>FOO-003</v>
      </c>
      <c r="C431">
        <v>-5</v>
      </c>
    </row>
    <row r="432" spans="1:3" x14ac:dyDescent="0.25">
      <c r="A432" s="23">
        <v>44467</v>
      </c>
      <c r="B432" t="str">
        <f>VLOOKUP('Clean data'!F:F,Dim_table!A:C,3,FALSE)</f>
        <v>FOO-003</v>
      </c>
      <c r="C432">
        <v>-223</v>
      </c>
    </row>
    <row r="433" spans="1:3" x14ac:dyDescent="0.25">
      <c r="A433" s="23">
        <v>44468</v>
      </c>
      <c r="B433" t="str">
        <f>VLOOKUP('Clean data'!F:F,Dim_table!A:C,3,FALSE)</f>
        <v>PER-008</v>
      </c>
      <c r="C433">
        <v>-132.9</v>
      </c>
    </row>
    <row r="434" spans="1:3" x14ac:dyDescent="0.25">
      <c r="A434" s="23">
        <v>44468</v>
      </c>
      <c r="B434" t="str">
        <f>VLOOKUP('Clean data'!F:F,Dim_table!A:C,3,FALSE)</f>
        <v>PER-008</v>
      </c>
      <c r="C434">
        <v>-175</v>
      </c>
    </row>
    <row r="435" spans="1:3" x14ac:dyDescent="0.25">
      <c r="A435" s="23">
        <v>44469</v>
      </c>
      <c r="B435" t="str">
        <f>VLOOKUP('Clean data'!F:F,Dim_table!A:C,3,FALSE)</f>
        <v>PER-008</v>
      </c>
      <c r="C435">
        <v>-153.39999999999998</v>
      </c>
    </row>
    <row r="436" spans="1:3" x14ac:dyDescent="0.25">
      <c r="A436" s="23">
        <v>44469</v>
      </c>
      <c r="B436" t="str">
        <f>VLOOKUP('Clean data'!F:F,Dim_table!A:C,3,FALSE)</f>
        <v>TRA-004</v>
      </c>
      <c r="C436">
        <v>-31.200000000000003</v>
      </c>
    </row>
    <row r="437" spans="1:3" x14ac:dyDescent="0.25">
      <c r="A437" s="23">
        <v>44469</v>
      </c>
      <c r="B437" t="str">
        <f>VLOOKUP('Clean data'!F:F,Dim_table!A:C,3,FALSE)</f>
        <v>FOO-003</v>
      </c>
      <c r="C437">
        <v>-15</v>
      </c>
    </row>
    <row r="438" spans="1:3" x14ac:dyDescent="0.25">
      <c r="A438" s="23">
        <v>44470</v>
      </c>
      <c r="B438" t="str">
        <f>VLOOKUP('Clean data'!F:F,Dim_table!A:C,3,FALSE)</f>
        <v>FOO-003</v>
      </c>
      <c r="C438">
        <v>-5</v>
      </c>
    </row>
    <row r="439" spans="1:3" x14ac:dyDescent="0.25">
      <c r="A439" s="23">
        <v>44472</v>
      </c>
      <c r="B439" t="str">
        <f>VLOOKUP('Clean data'!F:F,Dim_table!A:C,3,FALSE)</f>
        <v>FOO-003</v>
      </c>
      <c r="C439">
        <v>-5</v>
      </c>
    </row>
    <row r="440" spans="1:3" x14ac:dyDescent="0.25">
      <c r="A440" s="23">
        <v>44472</v>
      </c>
      <c r="B440" t="str">
        <f>VLOOKUP('Clean data'!F:F,Dim_table!A:C,3,FALSE)</f>
        <v>SAL-001</v>
      </c>
      <c r="C440">
        <v>5000</v>
      </c>
    </row>
    <row r="441" spans="1:3" x14ac:dyDescent="0.25">
      <c r="A441" s="23">
        <v>44473</v>
      </c>
      <c r="B441" t="str">
        <f>VLOOKUP('Clean data'!F:F,Dim_table!A:C,3,FALSE)</f>
        <v>FOO-003</v>
      </c>
      <c r="C441">
        <v>-5</v>
      </c>
    </row>
    <row r="442" spans="1:3" x14ac:dyDescent="0.25">
      <c r="A442" s="23">
        <v>44475</v>
      </c>
      <c r="B442" t="str">
        <f>VLOOKUP('Clean data'!F:F,Dim_table!A:C,3,FALSE)</f>
        <v>HOU-002</v>
      </c>
      <c r="C442">
        <v>-900</v>
      </c>
    </row>
    <row r="443" spans="1:3" x14ac:dyDescent="0.25">
      <c r="A443" s="23">
        <v>44475</v>
      </c>
      <c r="B443" t="str">
        <f>VLOOKUP('Clean data'!F:F,Dim_table!A:C,3,FALSE)</f>
        <v>LOA-009</v>
      </c>
      <c r="C443">
        <v>-150</v>
      </c>
    </row>
    <row r="444" spans="1:3" x14ac:dyDescent="0.25">
      <c r="A444" s="23">
        <v>44475</v>
      </c>
      <c r="B444" t="str">
        <f>VLOOKUP('Clean data'!F:F,Dim_table!A:C,3,FALSE)</f>
        <v>FOO-003</v>
      </c>
      <c r="C444">
        <v>-5</v>
      </c>
    </row>
    <row r="445" spans="1:3" x14ac:dyDescent="0.25">
      <c r="A445" s="23">
        <v>44475</v>
      </c>
      <c r="B445" t="str">
        <f>VLOOKUP('Clean data'!F:F,Dim_table!A:C,3,FALSE)</f>
        <v>FOO-003</v>
      </c>
      <c r="C445">
        <v>-5</v>
      </c>
    </row>
    <row r="446" spans="1:3" x14ac:dyDescent="0.25">
      <c r="A446" s="23">
        <v>44476</v>
      </c>
      <c r="B446" t="str">
        <f>VLOOKUP('Clean data'!F:F,Dim_table!A:C,3,FALSE)</f>
        <v>FOO-003</v>
      </c>
      <c r="C446">
        <v>-5</v>
      </c>
    </row>
    <row r="447" spans="1:3" x14ac:dyDescent="0.25">
      <c r="A447" s="23">
        <v>44477</v>
      </c>
      <c r="B447" t="str">
        <f>VLOOKUP('Clean data'!F:F,Dim_table!A:C,3,FALSE)</f>
        <v>FOO-003</v>
      </c>
      <c r="C447">
        <v>-5</v>
      </c>
    </row>
    <row r="448" spans="1:3" x14ac:dyDescent="0.25">
      <c r="A448" s="23">
        <v>44477</v>
      </c>
      <c r="B448" t="str">
        <f>VLOOKUP('Clean data'!F:F,Dim_table!A:C,3,FALSE)</f>
        <v>FOO-003</v>
      </c>
      <c r="C448">
        <v>-105</v>
      </c>
    </row>
    <row r="449" spans="1:3" x14ac:dyDescent="0.25">
      <c r="A449" s="23">
        <v>44480</v>
      </c>
      <c r="B449" t="str">
        <f>VLOOKUP('Clean data'!F:F,Dim_table!A:C,3,FALSE)</f>
        <v>FOO-003</v>
      </c>
      <c r="C449">
        <v>-59</v>
      </c>
    </row>
    <row r="450" spans="1:3" x14ac:dyDescent="0.25">
      <c r="A450" s="23">
        <v>44480</v>
      </c>
      <c r="B450" t="str">
        <f>VLOOKUP('Clean data'!F:F,Dim_table!A:C,3,FALSE)</f>
        <v>FOO-003</v>
      </c>
      <c r="C450">
        <v>-5</v>
      </c>
    </row>
    <row r="451" spans="1:3" x14ac:dyDescent="0.25">
      <c r="A451" s="23">
        <v>44481</v>
      </c>
      <c r="B451" t="str">
        <f>VLOOKUP('Clean data'!F:F,Dim_table!A:C,3,FALSE)</f>
        <v>FOO-003</v>
      </c>
      <c r="C451">
        <v>-5</v>
      </c>
    </row>
    <row r="452" spans="1:3" x14ac:dyDescent="0.25">
      <c r="A452" s="23">
        <v>44482</v>
      </c>
      <c r="B452" t="str">
        <f>VLOOKUP('Clean data'!F:F,Dim_table!A:C,3,FALSE)</f>
        <v>TRA-004</v>
      </c>
      <c r="C452">
        <v>-86.399999999999977</v>
      </c>
    </row>
    <row r="453" spans="1:3" x14ac:dyDescent="0.25">
      <c r="A453" s="23">
        <v>44482</v>
      </c>
      <c r="B453" t="str">
        <f>VLOOKUP('Clean data'!F:F,Dim_table!A:C,3,FALSE)</f>
        <v>FOO-003</v>
      </c>
      <c r="C453">
        <v>-5</v>
      </c>
    </row>
    <row r="454" spans="1:3" x14ac:dyDescent="0.25">
      <c r="A454" s="23">
        <v>44483</v>
      </c>
      <c r="B454" t="str">
        <f>VLOOKUP('Clean data'!F:F,Dim_table!A:C,3,FALSE)</f>
        <v>FOO-003</v>
      </c>
      <c r="C454">
        <v>-5</v>
      </c>
    </row>
    <row r="455" spans="1:3" x14ac:dyDescent="0.25">
      <c r="A455" s="23">
        <v>44484</v>
      </c>
      <c r="B455" t="str">
        <f>VLOOKUP('Clean data'!F:F,Dim_table!A:C,3,FALSE)</f>
        <v>FOO-003</v>
      </c>
      <c r="C455">
        <v>-143.9</v>
      </c>
    </row>
    <row r="456" spans="1:3" x14ac:dyDescent="0.25">
      <c r="A456" s="23">
        <v>44484</v>
      </c>
      <c r="B456" t="str">
        <f>VLOOKUP('Clean data'!F:F,Dim_table!A:C,3,FALSE)</f>
        <v>FOO-003</v>
      </c>
      <c r="C456">
        <v>-5</v>
      </c>
    </row>
    <row r="457" spans="1:3" x14ac:dyDescent="0.25">
      <c r="A457" s="23">
        <v>44485</v>
      </c>
      <c r="B457" t="str">
        <f>VLOOKUP('Clean data'!F:F,Dim_table!A:C,3,FALSE)</f>
        <v>FOO-003</v>
      </c>
      <c r="C457">
        <v>-5</v>
      </c>
    </row>
    <row r="458" spans="1:3" x14ac:dyDescent="0.25">
      <c r="A458" s="23">
        <v>44485</v>
      </c>
      <c r="B458" t="str">
        <f>VLOOKUP('Clean data'!F:F,Dim_table!A:C,3,FALSE)</f>
        <v>ENT-006</v>
      </c>
      <c r="C458">
        <v>-48.8</v>
      </c>
    </row>
    <row r="459" spans="1:3" x14ac:dyDescent="0.25">
      <c r="A459" s="23">
        <v>44485</v>
      </c>
      <c r="B459" t="str">
        <f>VLOOKUP('Clean data'!F:F,Dim_table!A:C,3,FALSE)</f>
        <v>PER-008</v>
      </c>
      <c r="C459">
        <v>-106.70000000000002</v>
      </c>
    </row>
    <row r="460" spans="1:3" x14ac:dyDescent="0.25">
      <c r="A460" s="23">
        <v>44485</v>
      </c>
      <c r="B460" t="str">
        <f>VLOOKUP('Clean data'!F:F,Dim_table!A:C,3,FALSE)</f>
        <v>FOO-003</v>
      </c>
      <c r="C460">
        <v>-61.1</v>
      </c>
    </row>
    <row r="461" spans="1:3" x14ac:dyDescent="0.25">
      <c r="A461" s="23">
        <v>44486</v>
      </c>
      <c r="B461" t="str">
        <f>VLOOKUP('Clean data'!F:F,Dim_table!A:C,3,FALSE)</f>
        <v>TRA-004</v>
      </c>
      <c r="C461">
        <v>-37.200000000000003</v>
      </c>
    </row>
    <row r="462" spans="1:3" x14ac:dyDescent="0.25">
      <c r="A462" s="23">
        <v>44487</v>
      </c>
      <c r="B462" t="str">
        <f>VLOOKUP('Clean data'!F:F,Dim_table!A:C,3,FALSE)</f>
        <v>PVE-010</v>
      </c>
      <c r="C462">
        <v>100</v>
      </c>
    </row>
    <row r="463" spans="1:3" x14ac:dyDescent="0.25">
      <c r="A463" s="23">
        <v>44487</v>
      </c>
      <c r="B463" t="str">
        <f>VLOOKUP('Clean data'!F:F,Dim_table!A:C,3,FALSE)</f>
        <v>FOO-003</v>
      </c>
      <c r="C463">
        <v>-5</v>
      </c>
    </row>
    <row r="464" spans="1:3" x14ac:dyDescent="0.25">
      <c r="A464" s="23">
        <v>44488</v>
      </c>
      <c r="B464" t="str">
        <f>VLOOKUP('Clean data'!F:F,Dim_table!A:C,3,FALSE)</f>
        <v>FOO-003</v>
      </c>
      <c r="C464">
        <v>-5</v>
      </c>
    </row>
    <row r="465" spans="1:3" x14ac:dyDescent="0.25">
      <c r="A465" s="23">
        <v>44488</v>
      </c>
      <c r="B465" t="str">
        <f>VLOOKUP('Clean data'!F:F,Dim_table!A:C,3,FALSE)</f>
        <v>MED-007</v>
      </c>
      <c r="C465">
        <v>-75</v>
      </c>
    </row>
    <row r="466" spans="1:3" x14ac:dyDescent="0.25">
      <c r="A466" s="23">
        <v>44488</v>
      </c>
      <c r="B466" t="str">
        <f>VLOOKUP('Clean data'!F:F,Dim_table!A:C,3,FALSE)</f>
        <v>UTI-005</v>
      </c>
      <c r="C466">
        <v>-40</v>
      </c>
    </row>
    <row r="467" spans="1:3" x14ac:dyDescent="0.25">
      <c r="A467" s="23">
        <v>44489</v>
      </c>
      <c r="B467" t="str">
        <f>VLOOKUP('Clean data'!F:F,Dim_table!A:C,3,FALSE)</f>
        <v>PER-008</v>
      </c>
      <c r="C467">
        <v>-54.1</v>
      </c>
    </row>
    <row r="468" spans="1:3" x14ac:dyDescent="0.25">
      <c r="A468" s="23">
        <v>44489</v>
      </c>
      <c r="B468" t="str">
        <f>VLOOKUP('Clean data'!F:F,Dim_table!A:C,3,FALSE)</f>
        <v>ENT-006</v>
      </c>
      <c r="C468">
        <v>-35</v>
      </c>
    </row>
    <row r="469" spans="1:3" x14ac:dyDescent="0.25">
      <c r="A469" s="23">
        <v>44489</v>
      </c>
      <c r="B469" t="str">
        <f>VLOOKUP('Clean data'!F:F,Dim_table!A:C,3,FALSE)</f>
        <v>FOO-003</v>
      </c>
      <c r="C469">
        <v>-5</v>
      </c>
    </row>
    <row r="470" spans="1:3" x14ac:dyDescent="0.25">
      <c r="A470" s="23">
        <v>44490</v>
      </c>
      <c r="B470" t="str">
        <f>VLOOKUP('Clean data'!F:F,Dim_table!A:C,3,FALSE)</f>
        <v>FOO-003</v>
      </c>
      <c r="C470">
        <v>-5</v>
      </c>
    </row>
    <row r="471" spans="1:3" x14ac:dyDescent="0.25">
      <c r="A471" s="23">
        <v>44491</v>
      </c>
      <c r="B471" t="str">
        <f>VLOOKUP('Clean data'!F:F,Dim_table!A:C,3,FALSE)</f>
        <v>FOO-003</v>
      </c>
      <c r="C471">
        <v>-5</v>
      </c>
    </row>
    <row r="472" spans="1:3" x14ac:dyDescent="0.25">
      <c r="A472" s="23">
        <v>44491</v>
      </c>
      <c r="B472" t="str">
        <f>VLOOKUP('Clean data'!F:F,Dim_table!A:C,3,FALSE)</f>
        <v>FOO-003</v>
      </c>
      <c r="C472">
        <v>-178.9</v>
      </c>
    </row>
    <row r="473" spans="1:3" x14ac:dyDescent="0.25">
      <c r="A473" s="23">
        <v>44492</v>
      </c>
      <c r="B473" t="str">
        <f>VLOOKUP('Clean data'!F:F,Dim_table!A:C,3,FALSE)</f>
        <v>FOO-003</v>
      </c>
      <c r="C473">
        <v>-46.2</v>
      </c>
    </row>
    <row r="474" spans="1:3" x14ac:dyDescent="0.25">
      <c r="A474" s="23">
        <v>44493</v>
      </c>
      <c r="B474" t="str">
        <f>VLOOKUP('Clean data'!F:F,Dim_table!A:C,3,FALSE)</f>
        <v>FOO-003</v>
      </c>
      <c r="C474">
        <v>-21.099999999999998</v>
      </c>
    </row>
    <row r="475" spans="1:3" x14ac:dyDescent="0.25">
      <c r="A475" s="23">
        <v>44494</v>
      </c>
      <c r="B475" t="str">
        <f>VLOOKUP('Clean data'!F:F,Dim_table!A:C,3,FALSE)</f>
        <v>PER-008</v>
      </c>
      <c r="C475">
        <v>-55</v>
      </c>
    </row>
    <row r="476" spans="1:3" x14ac:dyDescent="0.25">
      <c r="A476" s="23">
        <v>44494</v>
      </c>
      <c r="B476" t="str">
        <f>VLOOKUP('Clean data'!F:F,Dim_table!A:C,3,FALSE)</f>
        <v>TRA-004</v>
      </c>
      <c r="C476">
        <v>-71.500000000000028</v>
      </c>
    </row>
    <row r="477" spans="1:3" x14ac:dyDescent="0.25">
      <c r="A477" s="23">
        <v>44494</v>
      </c>
      <c r="B477" t="str">
        <f>VLOOKUP('Clean data'!F:F,Dim_table!A:C,3,FALSE)</f>
        <v>FOO-003</v>
      </c>
      <c r="C477">
        <v>-5</v>
      </c>
    </row>
    <row r="478" spans="1:3" x14ac:dyDescent="0.25">
      <c r="A478" s="23">
        <v>44495</v>
      </c>
      <c r="B478" t="str">
        <f>VLOOKUP('Clean data'!F:F,Dim_table!A:C,3,FALSE)</f>
        <v>FOO-003</v>
      </c>
      <c r="C478">
        <v>-5</v>
      </c>
    </row>
    <row r="479" spans="1:3" x14ac:dyDescent="0.25">
      <c r="A479" s="23">
        <v>44496</v>
      </c>
      <c r="B479" t="str">
        <f>VLOOKUP('Clean data'!F:F,Dim_table!A:C,3,FALSE)</f>
        <v>FOO-003</v>
      </c>
      <c r="C479">
        <v>-5</v>
      </c>
    </row>
    <row r="480" spans="1:3" x14ac:dyDescent="0.25">
      <c r="A480" s="23">
        <v>44497</v>
      </c>
      <c r="B480" t="str">
        <f>VLOOKUP('Clean data'!F:F,Dim_table!A:C,3,FALSE)</f>
        <v>FOO-003</v>
      </c>
      <c r="C480">
        <v>-5</v>
      </c>
    </row>
    <row r="481" spans="1:3" x14ac:dyDescent="0.25">
      <c r="A481" s="23">
        <v>44498</v>
      </c>
      <c r="B481" t="str">
        <f>VLOOKUP('Clean data'!F:F,Dim_table!A:C,3,FALSE)</f>
        <v>FOO-003</v>
      </c>
      <c r="C481">
        <v>-5</v>
      </c>
    </row>
    <row r="482" spans="1:3" x14ac:dyDescent="0.25">
      <c r="A482" s="23">
        <v>44498</v>
      </c>
      <c r="B482" t="str">
        <f>VLOOKUP('Clean data'!F:F,Dim_table!A:C,3,FALSE)</f>
        <v>FOO-003</v>
      </c>
      <c r="C482">
        <v>-189</v>
      </c>
    </row>
    <row r="483" spans="1:3" x14ac:dyDescent="0.25">
      <c r="A483" s="23">
        <v>44499</v>
      </c>
      <c r="B483" t="str">
        <f>VLOOKUP('Clean data'!F:F,Dim_table!A:C,3,FALSE)</f>
        <v>PER-008</v>
      </c>
      <c r="C483">
        <v>-133.80000000000001</v>
      </c>
    </row>
    <row r="484" spans="1:3" x14ac:dyDescent="0.25">
      <c r="A484" s="23">
        <v>44499</v>
      </c>
      <c r="B484" t="str">
        <f>VLOOKUP('Clean data'!F:F,Dim_table!A:C,3,FALSE)</f>
        <v>ENT-006</v>
      </c>
      <c r="C484">
        <v>-184.39999999999998</v>
      </c>
    </row>
    <row r="485" spans="1:3" x14ac:dyDescent="0.25">
      <c r="A485" s="23">
        <v>44500</v>
      </c>
      <c r="B485" t="str">
        <f>VLOOKUP('Clean data'!F:F,Dim_table!A:C,3,FALSE)</f>
        <v>PER-008</v>
      </c>
      <c r="C485">
        <v>-154.49999999999997</v>
      </c>
    </row>
    <row r="486" spans="1:3" x14ac:dyDescent="0.25">
      <c r="A486" s="23">
        <v>44500</v>
      </c>
      <c r="B486" t="str">
        <f>VLOOKUP('Clean data'!F:F,Dim_table!A:C,3,FALSE)</f>
        <v>TRA-004</v>
      </c>
      <c r="C486">
        <v>-32.1</v>
      </c>
    </row>
    <row r="487" spans="1:3" x14ac:dyDescent="0.25">
      <c r="A487" s="23">
        <v>44500</v>
      </c>
      <c r="B487" t="str">
        <f>VLOOKUP('Clean data'!F:F,Dim_table!A:C,3,FALSE)</f>
        <v>FOO-003</v>
      </c>
      <c r="C487">
        <v>-15</v>
      </c>
    </row>
  </sheetData>
  <autoFilter ref="A1:C487" xr:uid="{76DDE485-6681-4149-A559-659124C964F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184B-28D7-4FD1-9AFD-F0E589C8CAA1}">
  <dimension ref="A2:C81"/>
  <sheetViews>
    <sheetView topLeftCell="A63" workbookViewId="0">
      <selection activeCell="M63" sqref="M63"/>
    </sheetView>
  </sheetViews>
  <sheetFormatPr defaultRowHeight="15" x14ac:dyDescent="0.25"/>
  <cols>
    <col min="1" max="1" width="14.140625" bestFit="1" customWidth="1"/>
    <col min="2" max="2" width="18.42578125" bestFit="1" customWidth="1"/>
    <col min="3" max="3" width="15.140625" bestFit="1" customWidth="1"/>
  </cols>
  <sheetData>
    <row r="2" spans="1:3" x14ac:dyDescent="0.25">
      <c r="A2" s="19" t="s">
        <v>75</v>
      </c>
      <c r="B2" t="s">
        <v>98</v>
      </c>
      <c r="C2" t="s">
        <v>97</v>
      </c>
    </row>
    <row r="3" spans="1:3" x14ac:dyDescent="0.25">
      <c r="A3" s="20">
        <v>2021</v>
      </c>
      <c r="B3">
        <v>65440</v>
      </c>
      <c r="C3">
        <v>30190.999999999993</v>
      </c>
    </row>
    <row r="4" spans="1:3" x14ac:dyDescent="0.25">
      <c r="A4" s="20" t="s">
        <v>76</v>
      </c>
      <c r="B4">
        <v>65440</v>
      </c>
      <c r="C4">
        <v>30190.999999999993</v>
      </c>
    </row>
    <row r="17" spans="1:2" x14ac:dyDescent="0.25">
      <c r="A17" s="19" t="s">
        <v>75</v>
      </c>
      <c r="B17" t="s">
        <v>97</v>
      </c>
    </row>
    <row r="18" spans="1:2" x14ac:dyDescent="0.25">
      <c r="A18" s="20" t="s">
        <v>77</v>
      </c>
      <c r="B18">
        <v>2874</v>
      </c>
    </row>
    <row r="19" spans="1:2" x14ac:dyDescent="0.25">
      <c r="A19" s="20" t="s">
        <v>78</v>
      </c>
      <c r="B19">
        <v>2904.6000000000004</v>
      </c>
    </row>
    <row r="20" spans="1:2" x14ac:dyDescent="0.25">
      <c r="A20" s="20" t="s">
        <v>79</v>
      </c>
      <c r="B20">
        <v>3049.7</v>
      </c>
    </row>
    <row r="21" spans="1:2" x14ac:dyDescent="0.25">
      <c r="A21" s="20" t="s">
        <v>80</v>
      </c>
      <c r="B21">
        <v>3038.0000000000005</v>
      </c>
    </row>
    <row r="22" spans="1:2" x14ac:dyDescent="0.25">
      <c r="A22" s="20" t="s">
        <v>81</v>
      </c>
      <c r="B22">
        <v>3116.1</v>
      </c>
    </row>
    <row r="23" spans="1:2" x14ac:dyDescent="0.25">
      <c r="A23" s="20" t="s">
        <v>82</v>
      </c>
      <c r="B23">
        <v>3005.7</v>
      </c>
    </row>
    <row r="24" spans="1:2" x14ac:dyDescent="0.25">
      <c r="A24" s="20" t="s">
        <v>83</v>
      </c>
      <c r="B24">
        <v>3065</v>
      </c>
    </row>
    <row r="25" spans="1:2" x14ac:dyDescent="0.25">
      <c r="A25" s="20" t="s">
        <v>84</v>
      </c>
      <c r="B25">
        <v>2952.0999999999995</v>
      </c>
    </row>
    <row r="26" spans="1:2" x14ac:dyDescent="0.25">
      <c r="A26" s="20" t="s">
        <v>85</v>
      </c>
      <c r="B26">
        <v>3087.1</v>
      </c>
    </row>
    <row r="27" spans="1:2" x14ac:dyDescent="0.25">
      <c r="A27" s="20" t="s">
        <v>86</v>
      </c>
      <c r="B27">
        <v>3098.7</v>
      </c>
    </row>
    <row r="28" spans="1:2" x14ac:dyDescent="0.25">
      <c r="A28" s="20" t="s">
        <v>76</v>
      </c>
      <c r="B28">
        <v>30190.999999999996</v>
      </c>
    </row>
    <row r="34" spans="1:2" x14ac:dyDescent="0.25">
      <c r="A34" s="19" t="s">
        <v>75</v>
      </c>
      <c r="B34" t="s">
        <v>97</v>
      </c>
    </row>
    <row r="35" spans="1:2" x14ac:dyDescent="0.25">
      <c r="A35" s="20" t="s">
        <v>27</v>
      </c>
      <c r="B35" s="25">
        <v>6.0037759597230955E-2</v>
      </c>
    </row>
    <row r="36" spans="1:2" x14ac:dyDescent="0.25">
      <c r="A36" s="20" t="s">
        <v>64</v>
      </c>
      <c r="B36" s="25">
        <v>0.31379218972541489</v>
      </c>
    </row>
    <row r="37" spans="1:2" x14ac:dyDescent="0.25">
      <c r="A37" s="20" t="s">
        <v>65</v>
      </c>
      <c r="B37" s="25">
        <v>0.31189427312775325</v>
      </c>
    </row>
    <row r="38" spans="1:2" x14ac:dyDescent="0.25">
      <c r="A38" s="20" t="s">
        <v>66</v>
      </c>
      <c r="B38" s="25">
        <v>4.9683680567056403E-2</v>
      </c>
    </row>
    <row r="39" spans="1:2" x14ac:dyDescent="0.25">
      <c r="A39" s="20" t="s">
        <v>54</v>
      </c>
      <c r="B39" s="25">
        <v>7.4525520850584606E-3</v>
      </c>
    </row>
    <row r="40" spans="1:2" x14ac:dyDescent="0.25">
      <c r="A40" s="20" t="s">
        <v>37</v>
      </c>
      <c r="B40" s="25">
        <v>0</v>
      </c>
    </row>
    <row r="41" spans="1:2" x14ac:dyDescent="0.25">
      <c r="A41" s="20" t="s">
        <v>67</v>
      </c>
      <c r="B41" s="25">
        <v>0.17715875592063857</v>
      </c>
    </row>
    <row r="42" spans="1:2" x14ac:dyDescent="0.25">
      <c r="A42" s="20" t="s">
        <v>9</v>
      </c>
      <c r="B42" s="25">
        <v>0</v>
      </c>
    </row>
    <row r="43" spans="1:2" x14ac:dyDescent="0.25">
      <c r="A43" s="20" t="s">
        <v>68</v>
      </c>
      <c r="B43" s="25">
        <v>6.6731807492299025E-2</v>
      </c>
    </row>
    <row r="44" spans="1:2" x14ac:dyDescent="0.25">
      <c r="A44" s="20" t="s">
        <v>69</v>
      </c>
      <c r="B44" s="25">
        <v>1.3248981484548374E-2</v>
      </c>
    </row>
    <row r="45" spans="1:2" x14ac:dyDescent="0.25">
      <c r="A45" s="20" t="s">
        <v>76</v>
      </c>
      <c r="B45" s="25">
        <v>1</v>
      </c>
    </row>
    <row r="52" spans="1:2" x14ac:dyDescent="0.25">
      <c r="A52" s="19" t="s">
        <v>75</v>
      </c>
      <c r="B52" t="s">
        <v>99</v>
      </c>
    </row>
    <row r="53" spans="1:2" x14ac:dyDescent="0.25">
      <c r="A53" s="20" t="s">
        <v>70</v>
      </c>
      <c r="B53">
        <v>21</v>
      </c>
    </row>
    <row r="54" spans="1:2" x14ac:dyDescent="0.25">
      <c r="A54" s="20" t="s">
        <v>72</v>
      </c>
      <c r="B54">
        <v>22</v>
      </c>
    </row>
    <row r="55" spans="1:2" x14ac:dyDescent="0.25">
      <c r="A55" s="20" t="s">
        <v>73</v>
      </c>
      <c r="B55">
        <v>10</v>
      </c>
    </row>
    <row r="56" spans="1:2" x14ac:dyDescent="0.25">
      <c r="A56" s="20" t="s">
        <v>71</v>
      </c>
      <c r="B56">
        <v>366</v>
      </c>
    </row>
    <row r="57" spans="1:2" x14ac:dyDescent="0.25">
      <c r="A57" s="20" t="s">
        <v>74</v>
      </c>
      <c r="B57">
        <v>67</v>
      </c>
    </row>
    <row r="58" spans="1:2" x14ac:dyDescent="0.25">
      <c r="A58" s="20" t="s">
        <v>76</v>
      </c>
      <c r="B58">
        <v>486</v>
      </c>
    </row>
    <row r="70" spans="1:2" x14ac:dyDescent="0.25">
      <c r="A70" s="19" t="s">
        <v>75</v>
      </c>
      <c r="B70" t="s">
        <v>101</v>
      </c>
    </row>
    <row r="71" spans="1:2" x14ac:dyDescent="0.25">
      <c r="A71" s="20" t="s">
        <v>27</v>
      </c>
      <c r="B71" s="26">
        <v>-72.503999999999991</v>
      </c>
    </row>
    <row r="72" spans="1:2" x14ac:dyDescent="0.25">
      <c r="A72" s="20" t="s">
        <v>64</v>
      </c>
      <c r="B72" s="26">
        <v>-30.26741214057509</v>
      </c>
    </row>
    <row r="73" spans="1:2" x14ac:dyDescent="0.25">
      <c r="A73" s="20" t="s">
        <v>65</v>
      </c>
      <c r="B73" s="26">
        <v>-784.69999999999993</v>
      </c>
    </row>
    <row r="74" spans="1:2" x14ac:dyDescent="0.25">
      <c r="A74" s="20" t="s">
        <v>66</v>
      </c>
      <c r="B74" s="26">
        <v>-150</v>
      </c>
    </row>
    <row r="75" spans="1:2" x14ac:dyDescent="0.25">
      <c r="A75" s="20" t="s">
        <v>54</v>
      </c>
      <c r="B75" s="26">
        <v>-75</v>
      </c>
    </row>
    <row r="76" spans="1:2" x14ac:dyDescent="0.25">
      <c r="A76" s="20" t="s">
        <v>37</v>
      </c>
      <c r="B76" s="26">
        <v>1403.6363636363637</v>
      </c>
    </row>
    <row r="77" spans="1:2" x14ac:dyDescent="0.25">
      <c r="A77" s="20" t="s">
        <v>67</v>
      </c>
      <c r="B77" s="26">
        <v>-100.91698113207546</v>
      </c>
    </row>
    <row r="78" spans="1:2" x14ac:dyDescent="0.25">
      <c r="A78" s="20" t="s">
        <v>9</v>
      </c>
      <c r="B78" s="26">
        <v>5000</v>
      </c>
    </row>
    <row r="79" spans="1:2" x14ac:dyDescent="0.25">
      <c r="A79" s="20" t="s">
        <v>68</v>
      </c>
      <c r="B79" s="26">
        <v>-51.658974358974362</v>
      </c>
    </row>
    <row r="80" spans="1:2" x14ac:dyDescent="0.25">
      <c r="A80" s="20" t="s">
        <v>69</v>
      </c>
      <c r="B80" s="26">
        <v>-40</v>
      </c>
    </row>
    <row r="81" spans="1:2" x14ac:dyDescent="0.25">
      <c r="A81" s="20" t="s">
        <v>76</v>
      </c>
      <c r="B81" s="26">
        <v>72.528806584362172</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AFBB-D2E1-45A5-B36C-5A94007F75B9}">
  <dimension ref="A1:U21"/>
  <sheetViews>
    <sheetView tabSelected="1" workbookViewId="0">
      <selection sqref="A1:U2"/>
    </sheetView>
  </sheetViews>
  <sheetFormatPr defaultRowHeight="15" x14ac:dyDescent="0.25"/>
  <sheetData>
    <row r="1" spans="1:21" x14ac:dyDescent="0.25">
      <c r="A1" s="29" t="s">
        <v>100</v>
      </c>
      <c r="B1" s="30"/>
      <c r="C1" s="30"/>
      <c r="D1" s="30"/>
      <c r="E1" s="30"/>
      <c r="F1" s="30"/>
      <c r="G1" s="30"/>
      <c r="H1" s="30"/>
      <c r="I1" s="30"/>
      <c r="J1" s="30"/>
      <c r="K1" s="30"/>
      <c r="L1" s="30"/>
      <c r="M1" s="30"/>
      <c r="N1" s="30"/>
      <c r="O1" s="30"/>
      <c r="P1" s="30"/>
      <c r="Q1" s="30"/>
      <c r="R1" s="30"/>
      <c r="S1" s="30"/>
      <c r="T1" s="30"/>
      <c r="U1" s="30"/>
    </row>
    <row r="2" spans="1:21" x14ac:dyDescent="0.25">
      <c r="A2" s="30"/>
      <c r="B2" s="30"/>
      <c r="C2" s="30"/>
      <c r="D2" s="30"/>
      <c r="E2" s="30"/>
      <c r="F2" s="30"/>
      <c r="G2" s="30"/>
      <c r="H2" s="30"/>
      <c r="I2" s="30"/>
      <c r="J2" s="30"/>
      <c r="K2" s="30"/>
      <c r="L2" s="30"/>
      <c r="M2" s="30"/>
      <c r="N2" s="30"/>
      <c r="O2" s="30"/>
      <c r="P2" s="30"/>
      <c r="Q2" s="30"/>
      <c r="R2" s="30"/>
      <c r="S2" s="30"/>
      <c r="T2" s="30"/>
      <c r="U2" s="30"/>
    </row>
    <row r="3" spans="1:21" x14ac:dyDescent="0.25">
      <c r="A3" s="24"/>
      <c r="B3" s="24"/>
      <c r="C3" s="24"/>
      <c r="D3" s="24"/>
      <c r="E3" s="24"/>
      <c r="F3" s="24"/>
      <c r="G3" s="24"/>
      <c r="H3" s="24"/>
      <c r="I3" s="24"/>
      <c r="J3" s="24"/>
      <c r="K3" s="24"/>
      <c r="L3" s="24"/>
      <c r="M3" s="24"/>
      <c r="N3" s="24"/>
      <c r="O3" s="24"/>
      <c r="P3" s="24"/>
      <c r="Q3" s="24"/>
      <c r="R3" s="24"/>
      <c r="S3" s="24"/>
      <c r="T3" s="24"/>
      <c r="U3" s="24"/>
    </row>
    <row r="4" spans="1:21" x14ac:dyDescent="0.25">
      <c r="A4" s="24"/>
      <c r="B4" s="24"/>
      <c r="C4" s="24"/>
      <c r="D4" s="24"/>
      <c r="E4" s="24"/>
      <c r="F4" s="24"/>
      <c r="G4" s="24"/>
      <c r="H4" s="24"/>
      <c r="I4" s="24"/>
      <c r="J4" s="24"/>
      <c r="K4" s="24"/>
      <c r="L4" s="24"/>
      <c r="M4" s="24"/>
      <c r="N4" s="24"/>
      <c r="O4" s="24"/>
      <c r="P4" s="24"/>
      <c r="Q4" s="24"/>
      <c r="R4" s="24"/>
      <c r="S4" s="24"/>
      <c r="T4" s="24"/>
      <c r="U4" s="24"/>
    </row>
    <row r="5" spans="1:21" x14ac:dyDescent="0.25">
      <c r="A5" s="24"/>
      <c r="B5" s="24"/>
      <c r="C5" s="24"/>
      <c r="D5" s="24"/>
      <c r="E5" s="24"/>
      <c r="F5" s="24"/>
      <c r="G5" s="24"/>
      <c r="H5" s="24"/>
      <c r="I5" s="24"/>
      <c r="J5" s="24"/>
      <c r="K5" s="24"/>
      <c r="L5" s="24"/>
      <c r="M5" s="24"/>
      <c r="N5" s="24"/>
      <c r="O5" s="24"/>
      <c r="P5" s="24"/>
      <c r="Q5" s="24"/>
      <c r="R5" s="24"/>
      <c r="S5" s="24"/>
      <c r="T5" s="24"/>
      <c r="U5" s="24"/>
    </row>
    <row r="6" spans="1:21" x14ac:dyDescent="0.25">
      <c r="A6" s="24"/>
      <c r="B6" s="24"/>
      <c r="C6" s="24"/>
      <c r="D6" s="24"/>
      <c r="E6" s="24"/>
      <c r="F6" s="24"/>
      <c r="G6" s="24"/>
      <c r="H6" s="24"/>
      <c r="I6" s="24"/>
      <c r="J6" s="24"/>
      <c r="K6" s="24"/>
      <c r="L6" s="24"/>
      <c r="M6" s="24"/>
      <c r="N6" s="24"/>
      <c r="O6" s="24"/>
      <c r="P6" s="24"/>
      <c r="Q6" s="24"/>
      <c r="R6" s="24"/>
      <c r="S6" s="24"/>
      <c r="T6" s="24"/>
      <c r="U6" s="24"/>
    </row>
    <row r="7" spans="1:21" x14ac:dyDescent="0.25">
      <c r="A7" s="24"/>
      <c r="B7" s="24"/>
      <c r="C7" s="24"/>
      <c r="D7" s="24"/>
      <c r="E7" s="24"/>
      <c r="F7" s="24"/>
      <c r="G7" s="24"/>
      <c r="H7" s="24"/>
      <c r="I7" s="24"/>
      <c r="J7" s="24"/>
      <c r="K7" s="24"/>
      <c r="L7" s="24"/>
      <c r="M7" s="24"/>
      <c r="N7" s="24"/>
      <c r="O7" s="24"/>
      <c r="P7" s="24"/>
      <c r="Q7" s="24"/>
      <c r="R7" s="24"/>
      <c r="S7" s="24"/>
      <c r="T7" s="24"/>
      <c r="U7" s="24"/>
    </row>
    <row r="8" spans="1:21" x14ac:dyDescent="0.25">
      <c r="A8" s="24"/>
      <c r="B8" s="24"/>
      <c r="C8" s="24"/>
      <c r="D8" s="24"/>
      <c r="E8" s="24"/>
      <c r="F8" s="24"/>
      <c r="G8" s="24"/>
      <c r="H8" s="24"/>
      <c r="I8" s="24"/>
      <c r="J8" s="24"/>
      <c r="K8" s="24"/>
      <c r="L8" s="24"/>
      <c r="M8" s="24"/>
      <c r="N8" s="24"/>
      <c r="O8" s="24"/>
      <c r="P8" s="24"/>
      <c r="Q8" s="24"/>
      <c r="R8" s="24"/>
      <c r="S8" s="24"/>
      <c r="T8" s="24"/>
      <c r="U8" s="24"/>
    </row>
    <row r="9" spans="1:21" x14ac:dyDescent="0.25">
      <c r="A9" s="24"/>
      <c r="B9" s="24"/>
      <c r="C9" s="24"/>
      <c r="D9" s="24"/>
      <c r="E9" s="24"/>
      <c r="F9" s="24"/>
      <c r="G9" s="24"/>
      <c r="H9" s="24"/>
      <c r="I9" s="24"/>
      <c r="J9" s="24"/>
      <c r="K9" s="24"/>
      <c r="L9" s="24"/>
      <c r="M9" s="24"/>
      <c r="N9" s="24"/>
      <c r="O9" s="24"/>
      <c r="P9" s="24"/>
      <c r="Q9" s="24"/>
      <c r="R9" s="24"/>
      <c r="S9" s="24"/>
      <c r="T9" s="24"/>
      <c r="U9" s="24"/>
    </row>
    <row r="10" spans="1:21" x14ac:dyDescent="0.25">
      <c r="A10" s="24"/>
      <c r="B10" s="24"/>
      <c r="C10" s="24"/>
      <c r="D10" s="24"/>
      <c r="E10" s="24"/>
      <c r="F10" s="24"/>
      <c r="G10" s="24"/>
      <c r="H10" s="24"/>
      <c r="I10" s="24"/>
      <c r="J10" s="24"/>
      <c r="K10" s="24"/>
      <c r="L10" s="24"/>
      <c r="M10" s="24"/>
      <c r="N10" s="24"/>
      <c r="O10" s="24"/>
      <c r="P10" s="24"/>
      <c r="Q10" s="24"/>
      <c r="R10" s="24"/>
      <c r="S10" s="24"/>
      <c r="T10" s="24"/>
      <c r="U10" s="24"/>
    </row>
    <row r="11" spans="1:21" x14ac:dyDescent="0.25">
      <c r="A11" s="24"/>
      <c r="B11" s="24"/>
      <c r="C11" s="24"/>
      <c r="D11" s="24"/>
      <c r="E11" s="24"/>
      <c r="F11" s="24"/>
      <c r="G11" s="24"/>
      <c r="H11" s="24"/>
      <c r="I11" s="24"/>
      <c r="J11" s="24"/>
      <c r="K11" s="24"/>
      <c r="L11" s="24"/>
      <c r="M11" s="24"/>
      <c r="N11" s="24"/>
      <c r="O11" s="24"/>
      <c r="P11" s="24"/>
      <c r="Q11" s="24"/>
      <c r="R11" s="24"/>
      <c r="S11" s="24"/>
      <c r="T11" s="24"/>
      <c r="U11" s="24"/>
    </row>
    <row r="12" spans="1:21" x14ac:dyDescent="0.25">
      <c r="A12" s="24"/>
      <c r="B12" s="24"/>
      <c r="C12" s="24"/>
      <c r="D12" s="24"/>
      <c r="E12" s="24"/>
      <c r="F12" s="24"/>
      <c r="G12" s="24"/>
      <c r="H12" s="24"/>
      <c r="I12" s="24"/>
      <c r="J12" s="24"/>
      <c r="K12" s="24"/>
      <c r="L12" s="24"/>
      <c r="M12" s="24"/>
      <c r="N12" s="24"/>
      <c r="O12" s="24"/>
      <c r="P12" s="24"/>
      <c r="Q12" s="24"/>
      <c r="R12" s="24"/>
      <c r="S12" s="24"/>
      <c r="T12" s="24"/>
      <c r="U12" s="24"/>
    </row>
    <row r="13" spans="1:21" x14ac:dyDescent="0.25">
      <c r="A13" s="24"/>
      <c r="B13" s="24"/>
      <c r="C13" s="24"/>
      <c r="D13" s="24"/>
      <c r="E13" s="24"/>
      <c r="F13" s="24"/>
      <c r="G13" s="24"/>
      <c r="H13" s="24"/>
      <c r="I13" s="24"/>
      <c r="J13" s="24"/>
      <c r="K13" s="24"/>
      <c r="L13" s="24"/>
      <c r="M13" s="24"/>
      <c r="N13" s="24"/>
      <c r="O13" s="24"/>
      <c r="P13" s="24"/>
      <c r="Q13" s="24"/>
      <c r="R13" s="24"/>
      <c r="S13" s="24"/>
      <c r="T13" s="24"/>
      <c r="U13" s="24"/>
    </row>
    <row r="14" spans="1:21" x14ac:dyDescent="0.25">
      <c r="A14" s="24"/>
      <c r="B14" s="24"/>
      <c r="C14" s="24"/>
      <c r="D14" s="24"/>
      <c r="E14" s="24"/>
      <c r="F14" s="24"/>
      <c r="G14" s="24"/>
      <c r="H14" s="24"/>
      <c r="I14" s="24"/>
      <c r="J14" s="24"/>
      <c r="K14" s="24"/>
      <c r="L14" s="24"/>
      <c r="M14" s="24"/>
      <c r="N14" s="24"/>
      <c r="O14" s="24"/>
      <c r="P14" s="24"/>
      <c r="Q14" s="24"/>
      <c r="R14" s="24"/>
      <c r="S14" s="24"/>
      <c r="T14" s="24"/>
      <c r="U14" s="24"/>
    </row>
    <row r="15" spans="1:21" x14ac:dyDescent="0.25">
      <c r="A15" s="24"/>
      <c r="B15" s="24"/>
      <c r="C15" s="24"/>
      <c r="D15" s="24"/>
      <c r="E15" s="24"/>
      <c r="F15" s="24"/>
      <c r="G15" s="24"/>
      <c r="H15" s="24"/>
      <c r="I15" s="24"/>
      <c r="J15" s="24"/>
      <c r="K15" s="24"/>
      <c r="L15" s="24"/>
      <c r="M15" s="24"/>
      <c r="N15" s="24"/>
      <c r="O15" s="24"/>
      <c r="P15" s="24"/>
      <c r="Q15" s="24"/>
      <c r="R15" s="24"/>
      <c r="S15" s="24"/>
      <c r="T15" s="24"/>
      <c r="U15" s="24"/>
    </row>
    <row r="16" spans="1:21" x14ac:dyDescent="0.25">
      <c r="A16" s="24"/>
      <c r="B16" s="24"/>
      <c r="C16" s="24"/>
      <c r="D16" s="24"/>
      <c r="E16" s="24"/>
      <c r="F16" s="24"/>
      <c r="G16" s="24"/>
      <c r="H16" s="24"/>
      <c r="I16" s="24"/>
      <c r="J16" s="24"/>
      <c r="K16" s="24"/>
      <c r="L16" s="24"/>
      <c r="M16" s="24"/>
      <c r="N16" s="24"/>
      <c r="O16" s="24"/>
      <c r="P16" s="24"/>
      <c r="Q16" s="24"/>
      <c r="R16" s="24"/>
      <c r="S16" s="24"/>
      <c r="T16" s="24"/>
      <c r="U16" s="24"/>
    </row>
    <row r="17" spans="1:21" x14ac:dyDescent="0.25">
      <c r="A17" s="24"/>
      <c r="B17" s="24"/>
      <c r="C17" s="24"/>
      <c r="D17" s="24"/>
      <c r="E17" s="24"/>
      <c r="F17" s="24"/>
      <c r="G17" s="24"/>
      <c r="H17" s="24"/>
      <c r="I17" s="24"/>
      <c r="J17" s="24"/>
      <c r="K17" s="24"/>
      <c r="L17" s="24"/>
      <c r="M17" s="24"/>
      <c r="N17" s="24"/>
      <c r="O17" s="24"/>
      <c r="P17" s="24"/>
      <c r="Q17" s="24"/>
      <c r="R17" s="24"/>
      <c r="S17" s="24"/>
      <c r="T17" s="24"/>
      <c r="U17" s="24"/>
    </row>
    <row r="18" spans="1:21" x14ac:dyDescent="0.25">
      <c r="A18" s="24"/>
      <c r="B18" s="24"/>
      <c r="C18" s="24"/>
      <c r="D18" s="24"/>
      <c r="E18" s="24"/>
      <c r="F18" s="24"/>
      <c r="G18" s="24"/>
      <c r="H18" s="24"/>
      <c r="I18" s="24"/>
      <c r="J18" s="24"/>
      <c r="K18" s="24"/>
      <c r="L18" s="24"/>
      <c r="M18" s="24"/>
      <c r="N18" s="24"/>
      <c r="O18" s="24"/>
      <c r="P18" s="24"/>
      <c r="Q18" s="24"/>
      <c r="R18" s="24"/>
      <c r="S18" s="24"/>
      <c r="T18" s="24"/>
      <c r="U18" s="24"/>
    </row>
    <row r="19" spans="1:21" x14ac:dyDescent="0.25">
      <c r="A19" s="24"/>
      <c r="B19" s="24"/>
      <c r="C19" s="24"/>
      <c r="D19" s="24"/>
      <c r="E19" s="24"/>
      <c r="F19" s="24"/>
      <c r="G19" s="24"/>
      <c r="H19" s="24"/>
      <c r="I19" s="24"/>
      <c r="J19" s="24"/>
      <c r="K19" s="24"/>
      <c r="L19" s="24"/>
      <c r="M19" s="24"/>
      <c r="N19" s="24"/>
      <c r="O19" s="24"/>
      <c r="P19" s="24"/>
      <c r="Q19" s="24"/>
      <c r="R19" s="24"/>
      <c r="S19" s="24"/>
      <c r="T19" s="24"/>
      <c r="U19" s="24"/>
    </row>
    <row r="20" spans="1:21" x14ac:dyDescent="0.25">
      <c r="A20" s="24"/>
      <c r="B20" s="24"/>
      <c r="C20" s="24"/>
      <c r="D20" s="24"/>
      <c r="E20" s="24"/>
      <c r="F20" s="24"/>
      <c r="G20" s="24"/>
      <c r="H20" s="24"/>
      <c r="I20" s="24"/>
      <c r="J20" s="24"/>
      <c r="K20" s="24"/>
      <c r="L20" s="24"/>
      <c r="M20" s="24"/>
      <c r="N20" s="24"/>
      <c r="O20" s="24"/>
      <c r="P20" s="24"/>
      <c r="Q20" s="24"/>
      <c r="R20" s="24"/>
      <c r="S20" s="24"/>
      <c r="T20" s="24"/>
      <c r="U20" s="24"/>
    </row>
    <row r="21" spans="1:21" x14ac:dyDescent="0.25">
      <c r="A21" s="24"/>
      <c r="B21" s="24"/>
      <c r="C21" s="24"/>
      <c r="D21" s="24"/>
      <c r="E21" s="24"/>
      <c r="F21" s="24"/>
      <c r="G21" s="24"/>
      <c r="H21" s="24"/>
      <c r="I21" s="24"/>
      <c r="J21" s="24"/>
      <c r="K21" s="24"/>
      <c r="L21" s="24"/>
      <c r="M21" s="24"/>
      <c r="N21" s="24"/>
      <c r="O21" s="24"/>
      <c r="P21" s="24"/>
      <c r="Q21" s="24"/>
      <c r="R21" s="24"/>
      <c r="S21" s="24"/>
      <c r="T21" s="24"/>
      <c r="U21" s="24"/>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2DF06C-9A7D-496B-98B7-448A017B0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Dataset</vt:lpstr>
      <vt:lpstr>Clean data</vt:lpstr>
      <vt:lpstr>Dim_table</vt:lpstr>
      <vt:lpstr>Fact_table</vt:lpstr>
      <vt:lpstr>Pivot</vt:lpstr>
      <vt:lpstr>Dashboard</vt:lpstr>
      <vt:lpstr>Expense_Tracker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Priya dharshini</cp:lastModifiedBy>
  <cp:lastPrinted>2024-07-17T19:52:31Z</cp:lastPrinted>
  <dcterms:created xsi:type="dcterms:W3CDTF">2021-12-12T19:13:53Z</dcterms:created>
  <dcterms:modified xsi:type="dcterms:W3CDTF">2025-12-23T15:29:12Z</dcterms:modified>
</cp:coreProperties>
</file>